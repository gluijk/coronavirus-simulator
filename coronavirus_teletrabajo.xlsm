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\28_Coronavirus\"/>
    </mc:Choice>
  </mc:AlternateContent>
  <xr:revisionPtr revIDLastSave="0" documentId="13_ncr:1_{C1CEADC4-695F-4BDB-8A5D-62B551FD5E4E}" xr6:coauthVersionLast="45" xr6:coauthVersionMax="45" xr10:uidLastSave="{00000000-0000-0000-0000-000000000000}"/>
  <bookViews>
    <workbookView xWindow="-120" yWindow="-120" windowWidth="29040" windowHeight="15840" tabRatio="515" xr2:uid="{E1118506-8CA6-417C-B612-3B8DE90B2E67}"/>
  </bookViews>
  <sheets>
    <sheet name="CoronavirusTeletrabajo" sheetId="4" r:id="rId1"/>
  </sheets>
  <calcPr calcId="181029" iterateCount="500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" i="4" l="1"/>
  <c r="L4" i="4" l="1"/>
  <c r="L8" i="4" l="1"/>
  <c r="L3" i="4"/>
  <c r="L2" i="4"/>
  <c r="L7" i="4"/>
  <c r="L6" i="4"/>
  <c r="L5" i="4"/>
  <c r="H9" i="4"/>
  <c r="L9" i="4" s="1"/>
  <c r="F2" i="4" l="1"/>
  <c r="E2" i="4" l="1"/>
  <c r="G2" i="4"/>
  <c r="I2" i="4" l="1"/>
  <c r="M2" i="4" s="1"/>
  <c r="N2" i="4" s="1"/>
  <c r="O2" i="4" s="1"/>
  <c r="H10" i="4" s="1"/>
  <c r="L10" i="4" s="1"/>
  <c r="F3" i="4" l="1"/>
  <c r="G3" i="4" s="1"/>
  <c r="E3" i="4" l="1"/>
  <c r="I3" i="4" l="1"/>
  <c r="M3" i="4" s="1"/>
  <c r="N3" i="4" s="1"/>
  <c r="O3" i="4" s="1"/>
  <c r="H11" i="4" s="1"/>
  <c r="L11" i="4" s="1"/>
  <c r="F4" i="4" l="1"/>
  <c r="G4" i="4" l="1"/>
  <c r="E4" i="4"/>
  <c r="I4" i="4" l="1"/>
  <c r="M4" i="4" s="1"/>
  <c r="N4" i="4" s="1"/>
  <c r="O4" i="4" l="1"/>
  <c r="H12" i="4" s="1"/>
  <c r="L12" i="4" s="1"/>
  <c r="F5" i="4" l="1"/>
  <c r="E5" i="4" s="1"/>
  <c r="G5" i="4" l="1"/>
  <c r="I5" i="4" l="1"/>
  <c r="M5" i="4" s="1"/>
  <c r="N5" i="4" s="1"/>
  <c r="O5" i="4" s="1"/>
  <c r="H13" i="4" l="1"/>
  <c r="L13" i="4" s="1"/>
  <c r="F6" i="4"/>
  <c r="G6" i="4" s="1"/>
  <c r="E6" i="4" l="1"/>
  <c r="I6" i="4" l="1"/>
  <c r="M6" i="4" s="1"/>
  <c r="N6" i="4" s="1"/>
  <c r="O6" i="4" s="1"/>
  <c r="H14" i="4" s="1"/>
  <c r="L14" i="4" s="1"/>
  <c r="F7" i="4" l="1"/>
  <c r="G7" i="4" s="1"/>
  <c r="E7" i="4" l="1"/>
  <c r="I7" i="4" l="1"/>
  <c r="M7" i="4" s="1"/>
  <c r="N7" i="4" s="1"/>
  <c r="O7" i="4" s="1"/>
  <c r="H15" i="4" s="1"/>
  <c r="L15" i="4" s="1"/>
  <c r="F8" i="4" l="1"/>
  <c r="G8" i="4" s="1"/>
  <c r="E8" i="4" l="1"/>
  <c r="I8" i="4" l="1"/>
  <c r="M8" i="4" s="1"/>
  <c r="N8" i="4" s="1"/>
  <c r="O8" i="4" s="1"/>
  <c r="H16" i="4" s="1"/>
  <c r="L16" i="4" s="1"/>
  <c r="F9" i="4" l="1"/>
  <c r="G9" i="4" s="1"/>
  <c r="E9" i="4" l="1"/>
  <c r="I9" i="4" l="1"/>
  <c r="M9" i="4" s="1"/>
  <c r="N9" i="4" s="1"/>
  <c r="O9" i="4" s="1"/>
  <c r="H17" i="4" s="1"/>
  <c r="L17" i="4" s="1"/>
  <c r="F10" i="4" l="1"/>
  <c r="G10" i="4" s="1"/>
  <c r="E10" i="4" l="1"/>
  <c r="I10" i="4" l="1"/>
  <c r="M10" i="4" s="1"/>
  <c r="N10" i="4" s="1"/>
  <c r="O10" i="4" s="1"/>
  <c r="H18" i="4" s="1"/>
  <c r="L18" i="4" s="1"/>
  <c r="F11" i="4" l="1"/>
  <c r="G11" i="4" s="1"/>
  <c r="E11" i="4" l="1"/>
  <c r="I11" i="4" l="1"/>
  <c r="M11" i="4" s="1"/>
  <c r="N11" i="4" s="1"/>
  <c r="O11" i="4" s="1"/>
  <c r="H19" i="4" l="1"/>
  <c r="L19" i="4" s="1"/>
  <c r="F12" i="4"/>
  <c r="G12" i="4" s="1"/>
  <c r="E12" i="4" l="1"/>
  <c r="I12" i="4" l="1"/>
  <c r="M12" i="4" s="1"/>
  <c r="N12" i="4" s="1"/>
  <c r="O12" i="4" s="1"/>
  <c r="H20" i="4" l="1"/>
  <c r="L20" i="4" s="1"/>
  <c r="F13" i="4"/>
  <c r="G13" i="4" s="1"/>
  <c r="E13" i="4" l="1"/>
  <c r="I13" i="4" l="1"/>
  <c r="M13" i="4" s="1"/>
  <c r="N13" i="4" s="1"/>
  <c r="O13" i="4" s="1"/>
  <c r="H21" i="4" l="1"/>
  <c r="L21" i="4" s="1"/>
  <c r="F14" i="4"/>
  <c r="G14" i="4" s="1"/>
  <c r="E14" i="4" l="1"/>
  <c r="I14" i="4" l="1"/>
  <c r="M14" i="4" s="1"/>
  <c r="N14" i="4" s="1"/>
  <c r="O14" i="4" s="1"/>
  <c r="H22" i="4" l="1"/>
  <c r="L22" i="4" s="1"/>
  <c r="F15" i="4"/>
  <c r="G15" i="4" s="1"/>
  <c r="E15" i="4" l="1"/>
  <c r="I15" i="4" l="1"/>
  <c r="M15" i="4" s="1"/>
  <c r="N15" i="4" s="1"/>
  <c r="O15" i="4" s="1"/>
  <c r="H23" i="4" l="1"/>
  <c r="L23" i="4" s="1"/>
  <c r="F16" i="4"/>
  <c r="G16" i="4" s="1"/>
  <c r="E16" i="4" l="1"/>
  <c r="I16" i="4" l="1"/>
  <c r="M16" i="4" s="1"/>
  <c r="N16" i="4" s="1"/>
  <c r="O16" i="4" s="1"/>
  <c r="H24" i="4" s="1"/>
  <c r="L24" i="4" s="1"/>
  <c r="F17" i="4" l="1"/>
  <c r="G17" i="4" s="1"/>
  <c r="E17" i="4" l="1"/>
  <c r="I17" i="4" s="1"/>
  <c r="M17" i="4" s="1"/>
  <c r="N17" i="4" s="1"/>
  <c r="O17" i="4" s="1"/>
  <c r="H25" i="4" l="1"/>
  <c r="L25" i="4" s="1"/>
  <c r="F18" i="4"/>
  <c r="G18" i="4" s="1"/>
  <c r="E18" i="4" l="1"/>
  <c r="I18" i="4" l="1"/>
  <c r="M18" i="4" s="1"/>
  <c r="N18" i="4" s="1"/>
  <c r="O18" i="4" s="1"/>
  <c r="H26" i="4" s="1"/>
  <c r="L26" i="4" s="1"/>
  <c r="F19" i="4" l="1"/>
  <c r="G19" i="4" s="1"/>
  <c r="E19" i="4" l="1"/>
  <c r="I19" i="4" s="1"/>
  <c r="M19" i="4" s="1"/>
  <c r="N19" i="4" s="1"/>
  <c r="O19" i="4" s="1"/>
  <c r="H27" i="4" s="1"/>
  <c r="L27" i="4" s="1"/>
  <c r="F20" i="4" l="1"/>
  <c r="G20" i="4" s="1"/>
  <c r="E20" i="4" l="1"/>
  <c r="I20" i="4" l="1"/>
  <c r="M20" i="4" s="1"/>
  <c r="N20" i="4" s="1"/>
  <c r="O20" i="4" s="1"/>
  <c r="H28" i="4" l="1"/>
  <c r="L28" i="4" s="1"/>
  <c r="F21" i="4"/>
  <c r="G21" i="4" s="1"/>
  <c r="E21" i="4" l="1"/>
  <c r="I21" i="4" s="1"/>
  <c r="M21" i="4" s="1"/>
  <c r="N21" i="4" s="1"/>
  <c r="O21" i="4" s="1"/>
  <c r="F22" i="4" s="1"/>
  <c r="G22" i="4" s="1"/>
  <c r="H29" i="4" l="1"/>
  <c r="L29" i="4" s="1"/>
  <c r="E22" i="4"/>
  <c r="I22" i="4" l="1"/>
  <c r="M22" i="4" s="1"/>
  <c r="N22" i="4" s="1"/>
  <c r="O22" i="4" s="1"/>
  <c r="H30" i="4" s="1"/>
  <c r="L30" i="4" s="1"/>
  <c r="F23" i="4" l="1"/>
  <c r="G23" i="4" s="1"/>
  <c r="E23" i="4" l="1"/>
  <c r="I23" i="4" l="1"/>
  <c r="M23" i="4" s="1"/>
  <c r="N23" i="4" s="1"/>
  <c r="O23" i="4" s="1"/>
  <c r="H31" i="4" s="1"/>
  <c r="L31" i="4" s="1"/>
  <c r="F24" i="4" l="1"/>
  <c r="G24" i="4" s="1"/>
  <c r="E24" i="4" l="1"/>
  <c r="I24" i="4" l="1"/>
  <c r="M24" i="4" s="1"/>
  <c r="N24" i="4" s="1"/>
  <c r="O24" i="4" s="1"/>
  <c r="H32" i="4" s="1"/>
  <c r="L32" i="4" s="1"/>
  <c r="F25" i="4" l="1"/>
  <c r="G25" i="4" s="1"/>
  <c r="E25" i="4" l="1"/>
  <c r="I25" i="4" l="1"/>
  <c r="M25" i="4" s="1"/>
  <c r="N25" i="4" s="1"/>
  <c r="O25" i="4" s="1"/>
  <c r="H33" i="4" s="1"/>
  <c r="L33" i="4" s="1"/>
  <c r="F26" i="4" l="1"/>
  <c r="G26" i="4" s="1"/>
  <c r="E26" i="4" l="1"/>
  <c r="I26" i="4" l="1"/>
  <c r="M26" i="4" s="1"/>
  <c r="N26" i="4" s="1"/>
  <c r="O26" i="4" s="1"/>
  <c r="H34" i="4" s="1"/>
  <c r="L34" i="4" s="1"/>
  <c r="F27" i="4" l="1"/>
  <c r="G27" i="4" s="1"/>
  <c r="E27" i="4" l="1"/>
  <c r="I27" i="4" l="1"/>
  <c r="M27" i="4" s="1"/>
  <c r="N27" i="4" s="1"/>
  <c r="O27" i="4" s="1"/>
  <c r="H35" i="4" s="1"/>
  <c r="L35" i="4" s="1"/>
  <c r="F28" i="4" l="1"/>
  <c r="G28" i="4" s="1"/>
  <c r="E28" i="4" l="1"/>
  <c r="I28" i="4" l="1"/>
  <c r="M28" i="4" s="1"/>
  <c r="N28" i="4" s="1"/>
  <c r="O28" i="4" s="1"/>
  <c r="H36" i="4" s="1"/>
  <c r="L36" i="4" s="1"/>
  <c r="F29" i="4" l="1"/>
  <c r="G29" i="4" s="1"/>
  <c r="E29" i="4" l="1"/>
  <c r="I29" i="4" l="1"/>
  <c r="M29" i="4" s="1"/>
  <c r="N29" i="4" s="1"/>
  <c r="O29" i="4" s="1"/>
  <c r="H37" i="4" s="1"/>
  <c r="L37" i="4" s="1"/>
  <c r="F30" i="4" l="1"/>
  <c r="G30" i="4" s="1"/>
  <c r="E30" i="4" l="1"/>
  <c r="I30" i="4" l="1"/>
  <c r="M30" i="4" s="1"/>
  <c r="N30" i="4" s="1"/>
  <c r="O30" i="4" l="1"/>
  <c r="H38" i="4" s="1"/>
  <c r="L38" i="4" s="1"/>
  <c r="F31" i="4" l="1"/>
  <c r="E31" i="4" l="1"/>
  <c r="G31" i="4"/>
  <c r="I31" i="4" l="1"/>
  <c r="M31" i="4" s="1"/>
  <c r="N31" i="4" s="1"/>
  <c r="O31" i="4" s="1"/>
  <c r="H39" i="4" l="1"/>
  <c r="L39" i="4" s="1"/>
  <c r="F32" i="4"/>
  <c r="G32" i="4" s="1"/>
  <c r="E32" i="4" l="1"/>
  <c r="I32" i="4" s="1"/>
  <c r="M32" i="4" s="1"/>
  <c r="N32" i="4" s="1"/>
  <c r="O32" i="4" s="1"/>
  <c r="H40" i="4" s="1"/>
  <c r="L40" i="4" s="1"/>
  <c r="F33" i="4" l="1"/>
  <c r="G33" i="4" s="1"/>
  <c r="E33" i="4" l="1"/>
  <c r="I33" i="4" l="1"/>
  <c r="M33" i="4" s="1"/>
  <c r="N33" i="4" s="1"/>
  <c r="O33" i="4" l="1"/>
  <c r="H41" i="4" s="1"/>
  <c r="L41" i="4" s="1"/>
  <c r="F34" i="4" l="1"/>
  <c r="E34" i="4" l="1"/>
  <c r="G34" i="4"/>
  <c r="I34" i="4" l="1"/>
  <c r="M34" i="4" s="1"/>
  <c r="N34" i="4" s="1"/>
  <c r="O34" i="4" s="1"/>
  <c r="H42" i="4" s="1"/>
  <c r="L42" i="4" s="1"/>
  <c r="F35" i="4" l="1"/>
  <c r="G35" i="4" s="1"/>
  <c r="E35" i="4" l="1"/>
  <c r="I35" i="4" s="1"/>
  <c r="M35" i="4" s="1"/>
  <c r="N35" i="4" s="1"/>
  <c r="O35" i="4" s="1"/>
  <c r="H43" i="4" s="1"/>
  <c r="L43" i="4" s="1"/>
  <c r="F36" i="4" l="1"/>
  <c r="G36" i="4" s="1"/>
  <c r="E36" i="4" l="1"/>
  <c r="I36" i="4" l="1"/>
  <c r="M36" i="4" s="1"/>
  <c r="N36" i="4" s="1"/>
  <c r="O36" i="4" s="1"/>
  <c r="H44" i="4" s="1"/>
  <c r="L44" i="4" s="1"/>
  <c r="F37" i="4" l="1"/>
  <c r="G37" i="4" s="1"/>
  <c r="E37" i="4" l="1"/>
  <c r="I37" i="4" l="1"/>
  <c r="M37" i="4" s="1"/>
  <c r="N37" i="4" s="1"/>
  <c r="O37" i="4" l="1"/>
  <c r="H45" i="4" s="1"/>
  <c r="L45" i="4" s="1"/>
  <c r="F38" i="4" l="1"/>
  <c r="G38" i="4" s="1"/>
  <c r="E38" i="4" l="1"/>
  <c r="I38" i="4" l="1"/>
  <c r="M38" i="4" s="1"/>
  <c r="N38" i="4" s="1"/>
  <c r="O38" i="4" s="1"/>
  <c r="H46" i="4" s="1"/>
  <c r="L46" i="4" s="1"/>
  <c r="F39" i="4" l="1"/>
  <c r="G39" i="4" s="1"/>
  <c r="E39" i="4" l="1"/>
  <c r="I39" i="4" l="1"/>
  <c r="M39" i="4" s="1"/>
  <c r="N39" i="4" s="1"/>
  <c r="O39" i="4" s="1"/>
  <c r="H47" i="4" l="1"/>
  <c r="L47" i="4" s="1"/>
  <c r="F40" i="4"/>
  <c r="G40" i="4" s="1"/>
  <c r="E40" i="4" l="1"/>
  <c r="I40" i="4" s="1"/>
  <c r="M40" i="4" s="1"/>
  <c r="N40" i="4" s="1"/>
  <c r="O40" i="4" s="1"/>
  <c r="H48" i="4" s="1"/>
  <c r="L48" i="4" s="1"/>
  <c r="F41" i="4" l="1"/>
  <c r="G41" i="4" s="1"/>
  <c r="E41" i="4" l="1"/>
  <c r="I41" i="4" l="1"/>
  <c r="M41" i="4" s="1"/>
  <c r="N41" i="4" s="1"/>
  <c r="O41" i="4" s="1"/>
  <c r="H49" i="4" s="1"/>
  <c r="L49" i="4" s="1"/>
  <c r="F42" i="4" l="1"/>
  <c r="G42" i="4" s="1"/>
  <c r="E42" i="4" l="1"/>
  <c r="I42" i="4" l="1"/>
  <c r="M42" i="4" s="1"/>
  <c r="N42" i="4" s="1"/>
  <c r="O42" i="4" s="1"/>
  <c r="H50" i="4" s="1"/>
  <c r="L50" i="4" s="1"/>
  <c r="F43" i="4" l="1"/>
  <c r="G43" i="4" s="1"/>
  <c r="E43" i="4" l="1"/>
  <c r="I43" i="4" l="1"/>
  <c r="M43" i="4" s="1"/>
  <c r="N43" i="4" s="1"/>
  <c r="O43" i="4" s="1"/>
  <c r="H51" i="4" s="1"/>
  <c r="L51" i="4" s="1"/>
  <c r="F44" i="4" l="1"/>
  <c r="G44" i="4" s="1"/>
  <c r="E44" i="4" l="1"/>
  <c r="I44" i="4" l="1"/>
  <c r="M44" i="4" s="1"/>
  <c r="N44" i="4" s="1"/>
  <c r="O44" i="4" s="1"/>
  <c r="H52" i="4" s="1"/>
  <c r="L52" i="4" s="1"/>
  <c r="F45" i="4" l="1"/>
  <c r="G45" i="4" s="1"/>
  <c r="E45" i="4" l="1"/>
  <c r="I45" i="4" l="1"/>
  <c r="M45" i="4" s="1"/>
  <c r="N45" i="4" s="1"/>
  <c r="O45" i="4" s="1"/>
  <c r="H53" i="4" s="1"/>
  <c r="L53" i="4" s="1"/>
  <c r="F46" i="4" l="1"/>
  <c r="G46" i="4" s="1"/>
  <c r="E46" i="4" l="1"/>
  <c r="I46" i="4" l="1"/>
  <c r="M46" i="4" s="1"/>
  <c r="N46" i="4" s="1"/>
  <c r="O46" i="4" s="1"/>
  <c r="H54" i="4" s="1"/>
  <c r="L54" i="4" s="1"/>
  <c r="F47" i="4" l="1"/>
  <c r="G47" i="4" s="1"/>
  <c r="E47" i="4" l="1"/>
  <c r="I47" i="4" l="1"/>
  <c r="M47" i="4" s="1"/>
  <c r="N47" i="4" s="1"/>
  <c r="O47" i="4" s="1"/>
  <c r="H55" i="4" s="1"/>
  <c r="L55" i="4" s="1"/>
  <c r="F48" i="4" l="1"/>
  <c r="G48" i="4" s="1"/>
  <c r="E48" i="4" l="1"/>
  <c r="I48" i="4" l="1"/>
  <c r="M48" i="4" s="1"/>
  <c r="N48" i="4" s="1"/>
  <c r="O48" i="4" s="1"/>
  <c r="H56" i="4" s="1"/>
  <c r="L56" i="4" s="1"/>
  <c r="F49" i="4" l="1"/>
  <c r="G49" i="4" s="1"/>
  <c r="E49" i="4" l="1"/>
  <c r="I49" i="4" l="1"/>
  <c r="M49" i="4" s="1"/>
  <c r="N49" i="4" s="1"/>
  <c r="O49" i="4" s="1"/>
  <c r="H57" i="4" s="1"/>
  <c r="L57" i="4" s="1"/>
  <c r="F50" i="4" l="1"/>
  <c r="G50" i="4" s="1"/>
  <c r="E50" i="4" l="1"/>
  <c r="I50" i="4" l="1"/>
  <c r="M50" i="4" s="1"/>
  <c r="N50" i="4" s="1"/>
  <c r="O50" i="4" s="1"/>
  <c r="H58" i="4" s="1"/>
  <c r="L58" i="4" s="1"/>
  <c r="F51" i="4" l="1"/>
  <c r="G51" i="4" s="1"/>
  <c r="E51" i="4" l="1"/>
  <c r="I51" i="4" l="1"/>
  <c r="M51" i="4" s="1"/>
  <c r="N51" i="4" s="1"/>
  <c r="O51" i="4" s="1"/>
  <c r="H59" i="4" s="1"/>
  <c r="L59" i="4" s="1"/>
  <c r="F52" i="4" l="1"/>
  <c r="G52" i="4" s="1"/>
  <c r="E52" i="4" l="1"/>
  <c r="I52" i="4" l="1"/>
  <c r="M52" i="4" s="1"/>
  <c r="N52" i="4" s="1"/>
  <c r="O52" i="4" s="1"/>
  <c r="H60" i="4" s="1"/>
  <c r="L60" i="4" s="1"/>
  <c r="F53" i="4" l="1"/>
  <c r="G53" i="4" s="1"/>
  <c r="E53" i="4" l="1"/>
  <c r="I53" i="4" l="1"/>
  <c r="M53" i="4" s="1"/>
  <c r="N53" i="4" s="1"/>
  <c r="O53" i="4" s="1"/>
  <c r="H61" i="4" s="1"/>
  <c r="L61" i="4" s="1"/>
  <c r="F54" i="4" l="1"/>
  <c r="G54" i="4" s="1"/>
  <c r="E54" i="4" l="1"/>
  <c r="I54" i="4" l="1"/>
  <c r="M54" i="4" s="1"/>
  <c r="N54" i="4" s="1"/>
  <c r="O54" i="4" s="1"/>
  <c r="H62" i="4" s="1"/>
  <c r="L62" i="4" s="1"/>
  <c r="F55" i="4" l="1"/>
  <c r="G55" i="4" s="1"/>
  <c r="E55" i="4" l="1"/>
  <c r="I55" i="4" l="1"/>
  <c r="M55" i="4" s="1"/>
  <c r="N55" i="4" s="1"/>
  <c r="O55" i="4" s="1"/>
  <c r="H63" i="4" s="1"/>
  <c r="L63" i="4" s="1"/>
  <c r="F56" i="4" l="1"/>
  <c r="G56" i="4" s="1"/>
  <c r="E56" i="4" l="1"/>
  <c r="I56" i="4" l="1"/>
  <c r="M56" i="4" s="1"/>
  <c r="N56" i="4" s="1"/>
  <c r="O56" i="4" s="1"/>
  <c r="H64" i="4" s="1"/>
  <c r="L64" i="4" s="1"/>
  <c r="F57" i="4" l="1"/>
  <c r="G57" i="4" s="1"/>
  <c r="E57" i="4" l="1"/>
  <c r="I57" i="4" l="1"/>
  <c r="M57" i="4" s="1"/>
  <c r="N57" i="4" s="1"/>
  <c r="O57" i="4" s="1"/>
  <c r="H65" i="4" s="1"/>
  <c r="L65" i="4" s="1"/>
  <c r="F58" i="4" l="1"/>
  <c r="G58" i="4" s="1"/>
  <c r="E58" i="4" l="1"/>
  <c r="I58" i="4" l="1"/>
  <c r="M58" i="4" s="1"/>
  <c r="N58" i="4" s="1"/>
  <c r="O58" i="4" s="1"/>
  <c r="H66" i="4" s="1"/>
  <c r="L66" i="4" l="1"/>
  <c r="F59" i="4"/>
  <c r="G59" i="4" s="1"/>
  <c r="E59" i="4" l="1"/>
  <c r="I59" i="4" l="1"/>
  <c r="M59" i="4" s="1"/>
  <c r="N59" i="4" s="1"/>
  <c r="O59" i="4" l="1"/>
  <c r="H67" i="4" s="1"/>
  <c r="L67" i="4" l="1"/>
  <c r="F60" i="4"/>
  <c r="G60" i="4" s="1"/>
  <c r="E60" i="4" l="1"/>
  <c r="I60" i="4" l="1"/>
  <c r="M60" i="4" s="1"/>
  <c r="N60" i="4" s="1"/>
  <c r="O60" i="4" s="1"/>
  <c r="H68" i="4" s="1"/>
  <c r="L68" i="4" l="1"/>
  <c r="F61" i="4"/>
  <c r="G61" i="4" s="1"/>
  <c r="E61" i="4" l="1"/>
  <c r="I61" i="4" s="1"/>
  <c r="M61" i="4" s="1"/>
  <c r="N61" i="4" s="1"/>
  <c r="O61" i="4" s="1"/>
  <c r="H69" i="4" s="1"/>
  <c r="L69" i="4" l="1"/>
  <c r="F62" i="4"/>
  <c r="G62" i="4" s="1"/>
  <c r="E62" i="4" l="1"/>
  <c r="I62" i="4" l="1"/>
  <c r="M62" i="4" s="1"/>
  <c r="N62" i="4" s="1"/>
  <c r="O62" i="4" s="1"/>
  <c r="H70" i="4" s="1"/>
  <c r="L70" i="4" l="1"/>
  <c r="F63" i="4"/>
  <c r="G63" i="4" s="1"/>
  <c r="E63" i="4" l="1"/>
  <c r="I63" i="4" l="1"/>
  <c r="M63" i="4" s="1"/>
  <c r="N63" i="4" s="1"/>
  <c r="O63" i="4" l="1"/>
  <c r="H71" i="4" s="1"/>
  <c r="L71" i="4" l="1"/>
  <c r="F64" i="4"/>
  <c r="G64" i="4" s="1"/>
  <c r="E64" i="4" l="1"/>
  <c r="I64" i="4" s="1"/>
  <c r="M64" i="4" s="1"/>
  <c r="N64" i="4" s="1"/>
  <c r="O64" i="4" s="1"/>
  <c r="H72" i="4" s="1"/>
  <c r="L72" i="4" l="1"/>
  <c r="F65" i="4"/>
  <c r="G65" i="4" s="1"/>
  <c r="E65" i="4" l="1"/>
  <c r="I65" i="4" l="1"/>
  <c r="M65" i="4" s="1"/>
  <c r="N65" i="4" s="1"/>
  <c r="O65" i="4" s="1"/>
  <c r="H73" i="4" s="1"/>
  <c r="L73" i="4" l="1"/>
  <c r="F66" i="4"/>
  <c r="G66" i="4" l="1"/>
  <c r="E66" i="4"/>
  <c r="I66" i="4" l="1"/>
  <c r="M66" i="4" s="1"/>
  <c r="N66" i="4" s="1"/>
  <c r="O66" i="4" l="1"/>
  <c r="H74" i="4" l="1"/>
  <c r="F67" i="4"/>
  <c r="L74" i="4" l="1"/>
  <c r="E67" i="4"/>
  <c r="G67" i="4"/>
  <c r="I67" i="4" l="1"/>
  <c r="M67" i="4" s="1"/>
  <c r="N67" i="4" s="1"/>
  <c r="O67" i="4" s="1"/>
  <c r="F68" i="4" s="1"/>
  <c r="E68" i="4" s="1"/>
  <c r="H75" i="4" l="1"/>
  <c r="L75" i="4" s="1"/>
  <c r="G68" i="4"/>
  <c r="I68" i="4" s="1"/>
  <c r="M68" i="4" s="1"/>
  <c r="N68" i="4" s="1"/>
  <c r="O68" i="4" s="1"/>
  <c r="F69" i="4" s="1"/>
  <c r="H76" i="4" l="1"/>
  <c r="G69" i="4"/>
  <c r="E69" i="4"/>
  <c r="I69" i="4" l="1"/>
  <c r="M69" i="4" s="1"/>
  <c r="N69" i="4" s="1"/>
  <c r="O69" i="4" s="1"/>
  <c r="F70" i="4" s="1"/>
  <c r="L76" i="4"/>
  <c r="H77" i="4" l="1"/>
  <c r="E70" i="4"/>
  <c r="G70" i="4"/>
  <c r="I70" i="4" l="1"/>
  <c r="M70" i="4" s="1"/>
  <c r="N70" i="4" s="1"/>
  <c r="O70" i="4" s="1"/>
  <c r="F71" i="4" s="1"/>
  <c r="L77" i="4"/>
  <c r="H78" i="4" l="1"/>
  <c r="L78" i="4" s="1"/>
  <c r="G71" i="4"/>
  <c r="E71" i="4"/>
  <c r="I71" i="4" l="1"/>
  <c r="M71" i="4" s="1"/>
  <c r="N71" i="4" s="1"/>
  <c r="O71" i="4" s="1"/>
  <c r="F72" i="4" l="1"/>
  <c r="H79" i="4"/>
  <c r="G72" i="4" l="1"/>
  <c r="E72" i="4"/>
  <c r="L79" i="4"/>
  <c r="I72" i="4" l="1"/>
  <c r="M72" i="4" s="1"/>
  <c r="N72" i="4" s="1"/>
  <c r="O72" i="4" s="1"/>
  <c r="F73" i="4" l="1"/>
  <c r="H80" i="4"/>
  <c r="L80" i="4" l="1"/>
  <c r="E73" i="4"/>
  <c r="G73" i="4"/>
  <c r="I73" i="4" l="1"/>
  <c r="M73" i="4" s="1"/>
  <c r="N73" i="4" s="1"/>
  <c r="O73" i="4" s="1"/>
  <c r="F74" i="4" l="1"/>
  <c r="H81" i="4"/>
  <c r="G74" i="4" l="1"/>
  <c r="E74" i="4"/>
  <c r="L81" i="4"/>
  <c r="I74" i="4" l="1"/>
  <c r="M74" i="4" s="1"/>
  <c r="N74" i="4" s="1"/>
  <c r="O74" i="4" s="1"/>
  <c r="F75" i="4" l="1"/>
  <c r="H82" i="4"/>
  <c r="L82" i="4" l="1"/>
  <c r="E75" i="4"/>
  <c r="G75" i="4"/>
  <c r="I75" i="4" l="1"/>
  <c r="M75" i="4" s="1"/>
  <c r="N75" i="4" s="1"/>
  <c r="O75" i="4" s="1"/>
  <c r="H83" i="4" l="1"/>
  <c r="F76" i="4"/>
  <c r="E76" i="4" l="1"/>
  <c r="G76" i="4"/>
  <c r="L83" i="4"/>
  <c r="I76" i="4" l="1"/>
  <c r="M76" i="4" s="1"/>
  <c r="N76" i="4" s="1"/>
  <c r="O76" i="4" s="1"/>
  <c r="F77" i="4" l="1"/>
  <c r="H84" i="4"/>
  <c r="L84" i="4" l="1"/>
  <c r="E77" i="4"/>
  <c r="G77" i="4"/>
  <c r="I77" i="4" l="1"/>
  <c r="M77" i="4" s="1"/>
  <c r="N77" i="4" s="1"/>
  <c r="O77" i="4" s="1"/>
  <c r="F78" i="4" l="1"/>
  <c r="H85" i="4"/>
  <c r="E78" i="4" l="1"/>
  <c r="G78" i="4"/>
  <c r="L85" i="4"/>
  <c r="I78" i="4" l="1"/>
  <c r="M78" i="4" s="1"/>
  <c r="N78" i="4" s="1"/>
  <c r="O78" i="4" s="1"/>
  <c r="F79" i="4" l="1"/>
  <c r="H86" i="4"/>
  <c r="L86" i="4" l="1"/>
  <c r="E79" i="4"/>
  <c r="G79" i="4"/>
  <c r="I79" i="4" l="1"/>
  <c r="M79" i="4" s="1"/>
  <c r="N79" i="4" s="1"/>
  <c r="O79" i="4" s="1"/>
  <c r="H87" i="4" s="1"/>
  <c r="L87" i="4" s="1"/>
  <c r="F80" i="4" l="1"/>
  <c r="E80" i="4" s="1"/>
  <c r="G80" i="4" l="1"/>
  <c r="I80" i="4" s="1"/>
  <c r="M80" i="4" s="1"/>
  <c r="N80" i="4" s="1"/>
  <c r="O80" i="4" s="1"/>
  <c r="H88" i="4" l="1"/>
  <c r="F81" i="4"/>
  <c r="E81" i="4" l="1"/>
  <c r="G81" i="4"/>
  <c r="L88" i="4"/>
  <c r="I81" i="4" l="1"/>
  <c r="M81" i="4" s="1"/>
  <c r="N81" i="4" s="1"/>
  <c r="O81" i="4" s="1"/>
  <c r="F82" i="4" l="1"/>
  <c r="H89" i="4"/>
  <c r="L89" i="4" l="1"/>
  <c r="G82" i="4"/>
  <c r="E82" i="4"/>
  <c r="I82" i="4" l="1"/>
  <c r="M82" i="4" s="1"/>
  <c r="N82" i="4" s="1"/>
  <c r="O82" i="4" s="1"/>
  <c r="H90" i="4" l="1"/>
  <c r="F83" i="4"/>
  <c r="G83" i="4" l="1"/>
  <c r="E83" i="4"/>
  <c r="L90" i="4"/>
  <c r="I83" i="4" l="1"/>
  <c r="M83" i="4" s="1"/>
  <c r="N83" i="4" s="1"/>
  <c r="O83" i="4" s="1"/>
  <c r="F84" i="4" l="1"/>
  <c r="H91" i="4"/>
  <c r="G84" i="4" l="1"/>
  <c r="E84" i="4"/>
  <c r="L91" i="4"/>
  <c r="I84" i="4" l="1"/>
  <c r="M84" i="4" s="1"/>
  <c r="N84" i="4" s="1"/>
  <c r="O84" i="4" s="1"/>
  <c r="F85" i="4" l="1"/>
  <c r="H92" i="4"/>
  <c r="L92" i="4" l="1"/>
  <c r="G85" i="4"/>
  <c r="E85" i="4"/>
  <c r="I85" i="4" l="1"/>
  <c r="M85" i="4" s="1"/>
  <c r="N85" i="4" s="1"/>
  <c r="O85" i="4" s="1"/>
  <c r="H93" i="4" l="1"/>
  <c r="F86" i="4"/>
  <c r="G86" i="4" l="1"/>
  <c r="E86" i="4"/>
  <c r="L93" i="4"/>
  <c r="I86" i="4" l="1"/>
  <c r="M86" i="4" s="1"/>
  <c r="N86" i="4" s="1"/>
  <c r="O86" i="4" s="1"/>
  <c r="F87" i="4" l="1"/>
  <c r="H94" i="4"/>
  <c r="L94" i="4" l="1"/>
  <c r="E87" i="4"/>
  <c r="G87" i="4"/>
  <c r="I87" i="4" l="1"/>
  <c r="M87" i="4" s="1"/>
  <c r="N87" i="4" s="1"/>
  <c r="O87" i="4" s="1"/>
  <c r="H95" i="4" s="1"/>
  <c r="L95" i="4" s="1"/>
  <c r="F88" i="4" l="1"/>
  <c r="E88" i="4" s="1"/>
  <c r="G88" i="4" l="1"/>
  <c r="I88" i="4" s="1"/>
  <c r="M88" i="4" s="1"/>
  <c r="N88" i="4" s="1"/>
  <c r="O88" i="4" s="1"/>
  <c r="H96" i="4" l="1"/>
  <c r="F89" i="4"/>
  <c r="E89" i="4" l="1"/>
  <c r="G89" i="4"/>
  <c r="L96" i="4"/>
  <c r="I89" i="4" l="1"/>
  <c r="M89" i="4" s="1"/>
  <c r="N89" i="4" s="1"/>
  <c r="O89" i="4" s="1"/>
  <c r="H97" i="4" l="1"/>
  <c r="L97" i="4" s="1"/>
  <c r="F90" i="4"/>
  <c r="G90" i="4" s="1"/>
  <c r="E90" i="4" l="1"/>
  <c r="I90" i="4" s="1"/>
  <c r="M90" i="4" s="1"/>
  <c r="N90" i="4" s="1"/>
  <c r="O90" i="4" s="1"/>
  <c r="H98" i="4" l="1"/>
  <c r="F91" i="4"/>
  <c r="L98" i="4" l="1"/>
  <c r="G91" i="4"/>
  <c r="E91" i="4"/>
  <c r="I91" i="4" l="1"/>
  <c r="M91" i="4" s="1"/>
  <c r="N91" i="4" s="1"/>
  <c r="O91" i="4" s="1"/>
  <c r="F92" i="4" l="1"/>
  <c r="H99" i="4"/>
  <c r="L99" i="4" l="1"/>
  <c r="E92" i="4"/>
  <c r="G92" i="4"/>
  <c r="I92" i="4" l="1"/>
  <c r="M92" i="4" s="1"/>
  <c r="N92" i="4" s="1"/>
  <c r="O92" i="4" s="1"/>
  <c r="H100" i="4" l="1"/>
  <c r="F93" i="4"/>
  <c r="L100" i="4" l="1"/>
  <c r="E93" i="4"/>
  <c r="G93" i="4"/>
  <c r="I93" i="4" l="1"/>
  <c r="M93" i="4" s="1"/>
  <c r="N93" i="4" s="1"/>
  <c r="O93" i="4" s="1"/>
  <c r="F94" i="4" l="1"/>
  <c r="H101" i="4"/>
  <c r="L101" i="4" l="1"/>
  <c r="E94" i="4"/>
  <c r="G94" i="4"/>
  <c r="I94" i="4" l="1"/>
  <c r="M94" i="4" s="1"/>
  <c r="N94" i="4" s="1"/>
  <c r="O94" i="4" s="1"/>
  <c r="H102" i="4" l="1"/>
  <c r="F95" i="4"/>
  <c r="L102" i="4" l="1"/>
  <c r="G95" i="4"/>
  <c r="E95" i="4"/>
  <c r="I95" i="4" l="1"/>
  <c r="M95" i="4" s="1"/>
  <c r="N95" i="4" s="1"/>
  <c r="O95" i="4" s="1"/>
  <c r="H103" i="4" l="1"/>
  <c r="F96" i="4"/>
  <c r="E96" i="4" l="1"/>
  <c r="G96" i="4"/>
  <c r="L103" i="4"/>
  <c r="I96" i="4" l="1"/>
  <c r="M96" i="4" s="1"/>
  <c r="N96" i="4" s="1"/>
  <c r="O96" i="4" s="1"/>
  <c r="F97" i="4" l="1"/>
  <c r="H104" i="4"/>
  <c r="E97" i="4" l="1"/>
  <c r="G97" i="4"/>
  <c r="L104" i="4"/>
  <c r="I97" i="4" l="1"/>
  <c r="M97" i="4" s="1"/>
  <c r="N97" i="4" s="1"/>
  <c r="O97" i="4" s="1"/>
  <c r="F98" i="4" l="1"/>
  <c r="H105" i="4"/>
  <c r="L105" i="4" l="1"/>
  <c r="G98" i="4"/>
  <c r="E98" i="4"/>
  <c r="I98" i="4" l="1"/>
  <c r="M98" i="4" s="1"/>
  <c r="N98" i="4" s="1"/>
  <c r="O98" i="4" s="1"/>
  <c r="H106" i="4" l="1"/>
  <c r="F99" i="4"/>
  <c r="G99" i="4" l="1"/>
  <c r="E99" i="4"/>
  <c r="L106" i="4"/>
  <c r="I99" i="4" l="1"/>
  <c r="M99" i="4" s="1"/>
  <c r="N99" i="4" s="1"/>
  <c r="O99" i="4" s="1"/>
  <c r="F100" i="4" l="1"/>
  <c r="H107" i="4"/>
  <c r="E100" i="4" l="1"/>
  <c r="G100" i="4"/>
  <c r="L107" i="4"/>
  <c r="I100" i="4" l="1"/>
  <c r="M100" i="4" s="1"/>
  <c r="N100" i="4" s="1"/>
  <c r="O100" i="4" s="1"/>
  <c r="F101" i="4" l="1"/>
  <c r="H108" i="4"/>
  <c r="L108" i="4" l="1"/>
  <c r="G101" i="4"/>
  <c r="E101" i="4"/>
  <c r="I101" i="4" l="1"/>
  <c r="M101" i="4" s="1"/>
  <c r="N101" i="4" s="1"/>
  <c r="O101" i="4" s="1"/>
  <c r="H109" i="4" s="1"/>
  <c r="L109" i="4" s="1"/>
  <c r="F102" i="4" l="1"/>
  <c r="E102" i="4" s="1"/>
  <c r="G102" i="4" l="1"/>
  <c r="I102" i="4" s="1"/>
  <c r="M102" i="4" s="1"/>
  <c r="N102" i="4" s="1"/>
  <c r="O102" i="4" s="1"/>
  <c r="H110" i="4" l="1"/>
  <c r="F103" i="4"/>
  <c r="L110" i="4" l="1"/>
  <c r="E103" i="4"/>
  <c r="G103" i="4"/>
  <c r="I103" i="4" l="1"/>
  <c r="M103" i="4" s="1"/>
  <c r="N103" i="4" s="1"/>
  <c r="O103" i="4" s="1"/>
  <c r="H111" i="4" l="1"/>
  <c r="F104" i="4"/>
  <c r="E104" i="4" l="1"/>
  <c r="G104" i="4"/>
  <c r="L111" i="4"/>
  <c r="I104" i="4" l="1"/>
  <c r="M104" i="4" s="1"/>
  <c r="N104" i="4" s="1"/>
  <c r="O104" i="4" s="1"/>
  <c r="F105" i="4" l="1"/>
  <c r="H112" i="4"/>
  <c r="L112" i="4" l="1"/>
  <c r="G105" i="4"/>
  <c r="E105" i="4"/>
  <c r="I105" i="4" l="1"/>
  <c r="M105" i="4" s="1"/>
  <c r="N105" i="4" s="1"/>
  <c r="O105" i="4" s="1"/>
  <c r="H113" i="4" l="1"/>
  <c r="F106" i="4"/>
  <c r="L113" i="4" l="1"/>
  <c r="G106" i="4"/>
  <c r="E106" i="4"/>
  <c r="I106" i="4" l="1"/>
  <c r="M106" i="4" s="1"/>
  <c r="N106" i="4" s="1"/>
  <c r="O106" i="4" s="1"/>
  <c r="H114" i="4" l="1"/>
  <c r="F107" i="4"/>
  <c r="E107" i="4" l="1"/>
  <c r="G107" i="4"/>
  <c r="L114" i="4"/>
  <c r="I107" i="4" l="1"/>
  <c r="M107" i="4" s="1"/>
  <c r="N107" i="4" s="1"/>
  <c r="O107" i="4" s="1"/>
  <c r="H115" i="4" l="1"/>
  <c r="F108" i="4"/>
  <c r="G108" i="4" l="1"/>
  <c r="E108" i="4"/>
  <c r="L115" i="4"/>
  <c r="I108" i="4" l="1"/>
  <c r="M108" i="4" s="1"/>
  <c r="N108" i="4" s="1"/>
  <c r="O108" i="4" s="1"/>
  <c r="H116" i="4" l="1"/>
  <c r="F109" i="4"/>
  <c r="E109" i="4" l="1"/>
  <c r="G109" i="4"/>
  <c r="L116" i="4"/>
  <c r="I109" i="4" l="1"/>
  <c r="M109" i="4" s="1"/>
  <c r="N109" i="4" s="1"/>
  <c r="O109" i="4" s="1"/>
  <c r="F110" i="4" l="1"/>
  <c r="H117" i="4"/>
  <c r="L117" i="4" l="1"/>
  <c r="E110" i="4"/>
  <c r="G110" i="4"/>
  <c r="I110" i="4" l="1"/>
  <c r="M110" i="4" s="1"/>
  <c r="N110" i="4" s="1"/>
  <c r="O110" i="4" s="1"/>
  <c r="H118" i="4" s="1"/>
  <c r="L118" i="4" s="1"/>
  <c r="F111" i="4" l="1"/>
  <c r="G111" i="4" s="1"/>
  <c r="E111" i="4" l="1"/>
  <c r="I111" i="4" s="1"/>
  <c r="M111" i="4" s="1"/>
  <c r="N111" i="4" s="1"/>
  <c r="O111" i="4" s="1"/>
  <c r="H119" i="4" l="1"/>
  <c r="F112" i="4"/>
  <c r="L119" i="4" l="1"/>
  <c r="G112" i="4"/>
  <c r="E112" i="4"/>
  <c r="I112" i="4" l="1"/>
  <c r="M112" i="4" s="1"/>
  <c r="N112" i="4" s="1"/>
  <c r="O112" i="4" s="1"/>
  <c r="H120" i="4" l="1"/>
  <c r="F113" i="4"/>
  <c r="E113" i="4" l="1"/>
  <c r="G113" i="4"/>
  <c r="L120" i="4"/>
  <c r="I113" i="4" l="1"/>
  <c r="M113" i="4" s="1"/>
  <c r="N113" i="4" s="1"/>
  <c r="O113" i="4" s="1"/>
  <c r="F114" i="4" l="1"/>
  <c r="H121" i="4"/>
  <c r="L121" i="4" l="1"/>
  <c r="G114" i="4"/>
  <c r="E114" i="4"/>
  <c r="I114" i="4" l="1"/>
  <c r="M114" i="4" s="1"/>
  <c r="N114" i="4" s="1"/>
  <c r="O114" i="4" s="1"/>
  <c r="H122" i="4" l="1"/>
  <c r="F115" i="4"/>
  <c r="L122" i="4" l="1"/>
  <c r="G115" i="4"/>
  <c r="E115" i="4"/>
  <c r="I115" i="4" l="1"/>
  <c r="M115" i="4" s="1"/>
  <c r="N115" i="4" s="1"/>
  <c r="O115" i="4" s="1"/>
  <c r="H123" i="4" l="1"/>
  <c r="F116" i="4"/>
  <c r="E116" i="4" l="1"/>
  <c r="G116" i="4"/>
  <c r="L123" i="4"/>
  <c r="I116" i="4" l="1"/>
  <c r="M116" i="4" s="1"/>
  <c r="N116" i="4" s="1"/>
  <c r="O116" i="4" s="1"/>
  <c r="F117" i="4" l="1"/>
  <c r="H124" i="4"/>
  <c r="L124" i="4" l="1"/>
  <c r="E117" i="4"/>
  <c r="G117" i="4"/>
  <c r="I117" i="4" l="1"/>
  <c r="M117" i="4" s="1"/>
  <c r="N117" i="4" s="1"/>
  <c r="O117" i="4" s="1"/>
  <c r="H125" i="4" l="1"/>
  <c r="F118" i="4"/>
  <c r="E118" i="4" l="1"/>
  <c r="G118" i="4"/>
  <c r="L125" i="4"/>
  <c r="I118" i="4" l="1"/>
  <c r="M118" i="4" s="1"/>
  <c r="N118" i="4" s="1"/>
  <c r="O118" i="4" s="1"/>
  <c r="F119" i="4" l="1"/>
  <c r="H126" i="4"/>
  <c r="G119" i="4" l="1"/>
  <c r="E119" i="4"/>
  <c r="L126" i="4"/>
  <c r="I119" i="4" l="1"/>
  <c r="M119" i="4" s="1"/>
  <c r="N119" i="4" s="1"/>
  <c r="O119" i="4" s="1"/>
  <c r="F120" i="4" l="1"/>
  <c r="H127" i="4"/>
  <c r="L127" i="4" l="1"/>
  <c r="E120" i="4"/>
  <c r="G120" i="4"/>
  <c r="I120" i="4" l="1"/>
  <c r="M120" i="4" s="1"/>
  <c r="N120" i="4" s="1"/>
  <c r="O120" i="4" s="1"/>
  <c r="H128" i="4" l="1"/>
  <c r="F121" i="4"/>
  <c r="L128" i="4" l="1"/>
  <c r="E121" i="4"/>
  <c r="G121" i="4"/>
  <c r="I121" i="4" l="1"/>
  <c r="M121" i="4" s="1"/>
  <c r="N121" i="4" s="1"/>
  <c r="O121" i="4" s="1"/>
  <c r="F122" i="4" l="1"/>
  <c r="H129" i="4"/>
  <c r="E122" i="4" l="1"/>
  <c r="G122" i="4"/>
  <c r="L129" i="4"/>
  <c r="I122" i="4" l="1"/>
  <c r="M122" i="4" s="1"/>
  <c r="N122" i="4" s="1"/>
  <c r="O122" i="4" s="1"/>
  <c r="F123" i="4" l="1"/>
  <c r="H130" i="4"/>
  <c r="L130" i="4" l="1"/>
  <c r="E123" i="4"/>
  <c r="G123" i="4"/>
  <c r="I123" i="4" l="1"/>
  <c r="M123" i="4" s="1"/>
  <c r="N123" i="4" s="1"/>
  <c r="O123" i="4" s="1"/>
  <c r="H131" i="4" l="1"/>
  <c r="F124" i="4"/>
  <c r="G124" i="4" l="1"/>
  <c r="E124" i="4"/>
  <c r="L131" i="4"/>
  <c r="I124" i="4" l="1"/>
  <c r="M124" i="4" s="1"/>
  <c r="N124" i="4" s="1"/>
  <c r="O124" i="4" s="1"/>
  <c r="F125" i="4" l="1"/>
  <c r="H132" i="4"/>
  <c r="L132" i="4" l="1"/>
  <c r="E125" i="4"/>
  <c r="G125" i="4"/>
  <c r="I125" i="4" l="1"/>
  <c r="M125" i="4" s="1"/>
  <c r="N125" i="4" s="1"/>
  <c r="O125" i="4" s="1"/>
  <c r="H133" i="4" l="1"/>
  <c r="F126" i="4"/>
  <c r="L133" i="4" l="1"/>
  <c r="G126" i="4"/>
  <c r="E126" i="4"/>
  <c r="I126" i="4" l="1"/>
  <c r="M126" i="4" s="1"/>
  <c r="N126" i="4" s="1"/>
  <c r="O126" i="4" s="1"/>
  <c r="H134" i="4" l="1"/>
  <c r="F127" i="4"/>
  <c r="L134" i="4" l="1"/>
  <c r="E127" i="4"/>
  <c r="G127" i="4"/>
  <c r="I127" i="4" l="1"/>
  <c r="M127" i="4" s="1"/>
  <c r="N127" i="4" s="1"/>
  <c r="O127" i="4" s="1"/>
  <c r="H135" i="4" l="1"/>
  <c r="F128" i="4"/>
  <c r="L135" i="4" l="1"/>
  <c r="E128" i="4"/>
  <c r="G128" i="4"/>
  <c r="I128" i="4" l="1"/>
  <c r="M128" i="4" s="1"/>
  <c r="N128" i="4" s="1"/>
  <c r="O128" i="4" s="1"/>
  <c r="H136" i="4" l="1"/>
  <c r="F129" i="4"/>
  <c r="L136" i="4" l="1"/>
  <c r="G129" i="4"/>
  <c r="E129" i="4"/>
  <c r="I129" i="4" l="1"/>
  <c r="M129" i="4" s="1"/>
  <c r="N129" i="4" s="1"/>
  <c r="O129" i="4" s="1"/>
  <c r="H137" i="4" l="1"/>
  <c r="F130" i="4"/>
  <c r="L137" i="4" l="1"/>
  <c r="E130" i="4"/>
  <c r="G130" i="4"/>
  <c r="I130" i="4" l="1"/>
  <c r="M130" i="4" s="1"/>
  <c r="N130" i="4" s="1"/>
  <c r="O130" i="4" s="1"/>
  <c r="H138" i="4" s="1"/>
  <c r="L138" i="4" s="1"/>
  <c r="F131" i="4" l="1"/>
  <c r="G131" i="4" s="1"/>
  <c r="E131" i="4" l="1"/>
  <c r="I131" i="4" s="1"/>
  <c r="M131" i="4" s="1"/>
  <c r="N131" i="4" s="1"/>
  <c r="O131" i="4" s="1"/>
  <c r="H139" i="4" l="1"/>
  <c r="F132" i="4"/>
  <c r="E132" i="4" l="1"/>
  <c r="G132" i="4"/>
  <c r="L139" i="4"/>
  <c r="I132" i="4" l="1"/>
  <c r="M132" i="4" s="1"/>
  <c r="N132" i="4" s="1"/>
  <c r="O132" i="4" s="1"/>
  <c r="H140" i="4" l="1"/>
  <c r="F133" i="4"/>
  <c r="E133" i="4" l="1"/>
  <c r="G133" i="4"/>
  <c r="L140" i="4"/>
  <c r="I133" i="4" l="1"/>
  <c r="M133" i="4" s="1"/>
  <c r="N133" i="4" s="1"/>
  <c r="O133" i="4" s="1"/>
  <c r="F134" i="4" l="1"/>
  <c r="H141" i="4"/>
  <c r="L141" i="4" l="1"/>
  <c r="E134" i="4"/>
  <c r="G134" i="4"/>
  <c r="I134" i="4" l="1"/>
  <c r="M134" i="4" s="1"/>
  <c r="N134" i="4" s="1"/>
  <c r="O134" i="4" s="1"/>
  <c r="F135" i="4" l="1"/>
  <c r="H142" i="4"/>
  <c r="E135" i="4" l="1"/>
  <c r="G135" i="4"/>
  <c r="L142" i="4"/>
  <c r="I135" i="4" l="1"/>
  <c r="M135" i="4" s="1"/>
  <c r="N135" i="4" s="1"/>
  <c r="O135" i="4" s="1"/>
  <c r="F136" i="4" l="1"/>
  <c r="H143" i="4"/>
  <c r="L143" i="4" l="1"/>
  <c r="E136" i="4"/>
  <c r="G136" i="4"/>
  <c r="I136" i="4" l="1"/>
  <c r="M136" i="4" s="1"/>
  <c r="N136" i="4" s="1"/>
  <c r="O136" i="4" s="1"/>
  <c r="F137" i="4" l="1"/>
  <c r="H144" i="4"/>
  <c r="E137" i="4" l="1"/>
  <c r="G137" i="4"/>
  <c r="L144" i="4"/>
  <c r="I137" i="4" l="1"/>
  <c r="M137" i="4" s="1"/>
  <c r="N137" i="4" s="1"/>
  <c r="O137" i="4" s="1"/>
  <c r="F138" i="4" s="1"/>
  <c r="E138" i="4" s="1"/>
  <c r="G138" i="4" l="1"/>
  <c r="I138" i="4" s="1"/>
  <c r="M138" i="4" s="1"/>
  <c r="N138" i="4" s="1"/>
  <c r="O138" i="4" s="1"/>
  <c r="F139" i="4" s="1"/>
  <c r="G139" i="4" s="1"/>
  <c r="H145" i="4"/>
  <c r="L145" i="4" s="1"/>
  <c r="E139" i="4" l="1"/>
  <c r="I139" i="4" s="1"/>
  <c r="M139" i="4" s="1"/>
  <c r="N139" i="4" s="1"/>
  <c r="O139" i="4" s="1"/>
  <c r="F140" i="4" s="1"/>
  <c r="E140" i="4" s="1"/>
  <c r="H146" i="4"/>
  <c r="L146" i="4" s="1"/>
  <c r="G140" i="4" l="1"/>
  <c r="I140" i="4" s="1"/>
  <c r="M140" i="4" s="1"/>
  <c r="N140" i="4" s="1"/>
  <c r="O140" i="4" s="1"/>
  <c r="F141" i="4" s="1"/>
  <c r="H147" i="4"/>
  <c r="L147" i="4" s="1"/>
  <c r="E141" i="4" l="1"/>
  <c r="G141" i="4"/>
  <c r="H148" i="4"/>
  <c r="I141" i="4" l="1"/>
  <c r="M141" i="4" s="1"/>
  <c r="N141" i="4" s="1"/>
  <c r="O141" i="4" s="1"/>
  <c r="F142" i="4" s="1"/>
  <c r="L148" i="4"/>
  <c r="H149" i="4" l="1"/>
  <c r="E142" i="4"/>
  <c r="G142" i="4"/>
  <c r="I142" i="4" l="1"/>
  <c r="M142" i="4" s="1"/>
  <c r="N142" i="4" s="1"/>
  <c r="O142" i="4" s="1"/>
  <c r="F143" i="4" s="1"/>
  <c r="L149" i="4"/>
  <c r="H150" i="4" l="1"/>
  <c r="L150" i="4" s="1"/>
  <c r="G143" i="4"/>
  <c r="E143" i="4"/>
  <c r="I143" i="4" l="1"/>
  <c r="M143" i="4" s="1"/>
  <c r="N143" i="4" s="1"/>
  <c r="O143" i="4" s="1"/>
  <c r="F144" i="4" l="1"/>
  <c r="H151" i="4"/>
  <c r="L151" i="4" l="1"/>
  <c r="E144" i="4"/>
  <c r="G144" i="4"/>
  <c r="I144" i="4" l="1"/>
  <c r="M144" i="4" s="1"/>
  <c r="N144" i="4" s="1"/>
  <c r="O144" i="4" s="1"/>
  <c r="F145" i="4" l="1"/>
  <c r="H152" i="4"/>
  <c r="E145" i="4" l="1"/>
  <c r="G145" i="4"/>
  <c r="L152" i="4"/>
  <c r="I145" i="4" l="1"/>
  <c r="M145" i="4" s="1"/>
  <c r="N145" i="4" s="1"/>
  <c r="O145" i="4" s="1"/>
  <c r="F146" i="4" l="1"/>
  <c r="H153" i="4"/>
  <c r="L153" i="4" l="1"/>
  <c r="E146" i="4"/>
  <c r="G146" i="4"/>
  <c r="I146" i="4" l="1"/>
  <c r="M146" i="4" s="1"/>
  <c r="N146" i="4" s="1"/>
  <c r="O146" i="4" s="1"/>
  <c r="F147" i="4" l="1"/>
  <c r="H154" i="4"/>
  <c r="L154" i="4" l="1"/>
  <c r="E147" i="4"/>
  <c r="G147" i="4"/>
  <c r="I147" i="4" l="1"/>
  <c r="M147" i="4" s="1"/>
  <c r="N147" i="4" s="1"/>
  <c r="O147" i="4" s="1"/>
  <c r="F148" i="4" l="1"/>
  <c r="H155" i="4"/>
  <c r="G148" i="4" l="1"/>
  <c r="E148" i="4"/>
  <c r="L155" i="4"/>
  <c r="I148" i="4" l="1"/>
  <c r="M148" i="4" s="1"/>
  <c r="N148" i="4" s="1"/>
  <c r="O148" i="4" s="1"/>
  <c r="F149" i="4" l="1"/>
  <c r="H156" i="4"/>
  <c r="G149" i="4" l="1"/>
  <c r="E149" i="4"/>
  <c r="L156" i="4"/>
  <c r="I149" i="4" l="1"/>
  <c r="M149" i="4" s="1"/>
  <c r="N149" i="4" s="1"/>
  <c r="O149" i="4" s="1"/>
  <c r="F150" i="4" l="1"/>
  <c r="H157" i="4"/>
  <c r="L157" i="4" l="1"/>
  <c r="G150" i="4"/>
  <c r="E150" i="4"/>
  <c r="I150" i="4" l="1"/>
  <c r="M150" i="4" s="1"/>
  <c r="N150" i="4" s="1"/>
  <c r="O150" i="4" s="1"/>
  <c r="F151" i="4" l="1"/>
  <c r="H158" i="4"/>
  <c r="L158" i="4" l="1"/>
  <c r="E151" i="4"/>
  <c r="G151" i="4"/>
  <c r="I151" i="4" l="1"/>
  <c r="M151" i="4" s="1"/>
  <c r="N151" i="4" s="1"/>
  <c r="O151" i="4" s="1"/>
  <c r="F152" i="4" s="1"/>
  <c r="E152" i="4" s="1"/>
  <c r="H159" i="4" l="1"/>
  <c r="L159" i="4" s="1"/>
  <c r="G152" i="4"/>
  <c r="I152" i="4" s="1"/>
  <c r="M152" i="4" s="1"/>
  <c r="N152" i="4" s="1"/>
  <c r="O152" i="4" s="1"/>
  <c r="F153" i="4" s="1"/>
  <c r="E153" i="4" l="1"/>
  <c r="G153" i="4"/>
  <c r="H160" i="4"/>
  <c r="L160" i="4" l="1"/>
  <c r="I153" i="4"/>
  <c r="M153" i="4" s="1"/>
  <c r="N153" i="4" s="1"/>
  <c r="O153" i="4" s="1"/>
  <c r="F154" i="4" l="1"/>
  <c r="H161" i="4"/>
  <c r="E154" i="4" l="1"/>
  <c r="G154" i="4"/>
  <c r="L161" i="4"/>
  <c r="I154" i="4" l="1"/>
  <c r="M154" i="4" s="1"/>
  <c r="N154" i="4" s="1"/>
  <c r="O154" i="4" s="1"/>
  <c r="F155" i="4" l="1"/>
  <c r="H162" i="4"/>
  <c r="L162" i="4" l="1"/>
  <c r="G155" i="4"/>
  <c r="E155" i="4"/>
  <c r="I155" i="4" l="1"/>
  <c r="M155" i="4" s="1"/>
  <c r="N155" i="4" s="1"/>
  <c r="O155" i="4" s="1"/>
  <c r="H163" i="4" l="1"/>
  <c r="F156" i="4"/>
  <c r="E156" i="4" l="1"/>
  <c r="G156" i="4"/>
  <c r="L163" i="4"/>
  <c r="I156" i="4" l="1"/>
  <c r="M156" i="4" s="1"/>
  <c r="N156" i="4" s="1"/>
  <c r="O156" i="4" s="1"/>
  <c r="F157" i="4" s="1"/>
  <c r="G157" i="4" s="1"/>
  <c r="E157" i="4" l="1"/>
  <c r="I157" i="4" s="1"/>
  <c r="M157" i="4" s="1"/>
  <c r="N157" i="4" s="1"/>
  <c r="O157" i="4" s="1"/>
  <c r="H164" i="4"/>
  <c r="L164" i="4" s="1"/>
  <c r="F158" i="4" l="1"/>
  <c r="H165" i="4"/>
  <c r="L165" i="4" l="1"/>
  <c r="E158" i="4"/>
  <c r="G158" i="4"/>
  <c r="I158" i="4" l="1"/>
  <c r="M158" i="4" s="1"/>
  <c r="N158" i="4" s="1"/>
  <c r="O158" i="4" s="1"/>
  <c r="F159" i="4" l="1"/>
  <c r="H166" i="4"/>
  <c r="L166" i="4" l="1"/>
  <c r="E159" i="4"/>
  <c r="G159" i="4"/>
  <c r="I159" i="4" l="1"/>
  <c r="M159" i="4" s="1"/>
  <c r="N159" i="4" s="1"/>
  <c r="O159" i="4" s="1"/>
  <c r="H167" i="4" s="1"/>
  <c r="L167" i="4" s="1"/>
  <c r="F160" i="4" l="1"/>
  <c r="E160" i="4" s="1"/>
  <c r="G160" i="4" l="1"/>
  <c r="I160" i="4" s="1"/>
  <c r="M160" i="4" s="1"/>
  <c r="N160" i="4" s="1"/>
  <c r="O160" i="4" s="1"/>
  <c r="H168" i="4" l="1"/>
  <c r="F161" i="4"/>
  <c r="E161" i="4" l="1"/>
  <c r="G161" i="4"/>
  <c r="L168" i="4"/>
  <c r="I161" i="4" l="1"/>
  <c r="M161" i="4" s="1"/>
  <c r="N161" i="4" s="1"/>
  <c r="O161" i="4" s="1"/>
  <c r="F162" i="4" l="1"/>
  <c r="H169" i="4"/>
  <c r="G162" i="4" l="1"/>
  <c r="E162" i="4"/>
  <c r="L169" i="4"/>
  <c r="I162" i="4" l="1"/>
  <c r="M162" i="4" s="1"/>
  <c r="N162" i="4" s="1"/>
  <c r="O162" i="4" s="1"/>
  <c r="F163" i="4" s="1"/>
  <c r="G163" i="4" s="1"/>
  <c r="H170" i="4" l="1"/>
  <c r="L170" i="4" s="1"/>
  <c r="E163" i="4"/>
  <c r="I163" i="4" s="1"/>
  <c r="M163" i="4" s="1"/>
  <c r="N163" i="4" s="1"/>
  <c r="O163" i="4" s="1"/>
  <c r="F164" i="4" s="1"/>
  <c r="G164" i="4" l="1"/>
  <c r="E164" i="4"/>
  <c r="H171" i="4"/>
  <c r="L171" i="4" l="1"/>
  <c r="I164" i="4"/>
  <c r="M164" i="4" s="1"/>
  <c r="N164" i="4" s="1"/>
  <c r="O164" i="4" s="1"/>
  <c r="F165" i="4" l="1"/>
  <c r="H172" i="4"/>
  <c r="L172" i="4" l="1"/>
  <c r="G165" i="4"/>
  <c r="E165" i="4"/>
  <c r="I165" i="4" l="1"/>
  <c r="M165" i="4" s="1"/>
  <c r="N165" i="4" s="1"/>
  <c r="O165" i="4" s="1"/>
  <c r="H173" i="4" l="1"/>
  <c r="F166" i="4"/>
  <c r="G166" i="4" l="1"/>
  <c r="E166" i="4"/>
  <c r="L173" i="4"/>
  <c r="I166" i="4" l="1"/>
  <c r="M166" i="4" s="1"/>
  <c r="N166" i="4" s="1"/>
  <c r="O166" i="4" s="1"/>
  <c r="F167" i="4" l="1"/>
  <c r="H174" i="4"/>
  <c r="G167" i="4" l="1"/>
  <c r="E167" i="4"/>
  <c r="L174" i="4"/>
  <c r="I167" i="4" l="1"/>
  <c r="M167" i="4" s="1"/>
  <c r="N167" i="4" s="1"/>
  <c r="O167" i="4" s="1"/>
  <c r="F168" i="4" l="1"/>
  <c r="H175" i="4"/>
  <c r="L175" i="4" l="1"/>
  <c r="E168" i="4"/>
  <c r="G168" i="4"/>
  <c r="I168" i="4" l="1"/>
  <c r="M168" i="4" s="1"/>
  <c r="N168" i="4" s="1"/>
  <c r="O168" i="4" s="1"/>
  <c r="H176" i="4" s="1"/>
  <c r="L176" i="4" s="1"/>
  <c r="F169" i="4" l="1"/>
  <c r="G169" i="4" s="1"/>
  <c r="E169" i="4" l="1"/>
  <c r="I169" i="4" s="1"/>
  <c r="M169" i="4" s="1"/>
  <c r="N169" i="4" s="1"/>
  <c r="O169" i="4" s="1"/>
  <c r="H177" i="4" l="1"/>
  <c r="F170" i="4"/>
  <c r="L177" i="4" l="1"/>
  <c r="G170" i="4"/>
  <c r="E170" i="4"/>
  <c r="I170" i="4" l="1"/>
  <c r="M170" i="4" s="1"/>
  <c r="N170" i="4" s="1"/>
  <c r="O170" i="4" s="1"/>
  <c r="F171" i="4" l="1"/>
  <c r="H178" i="4"/>
  <c r="G171" i="4" l="1"/>
  <c r="E171" i="4"/>
  <c r="L178" i="4"/>
  <c r="I171" i="4" l="1"/>
  <c r="M171" i="4" s="1"/>
  <c r="N171" i="4" s="1"/>
  <c r="O171" i="4" s="1"/>
  <c r="F172" i="4" l="1"/>
  <c r="H179" i="4"/>
  <c r="L179" i="4" l="1"/>
  <c r="G172" i="4"/>
  <c r="E172" i="4"/>
  <c r="I172" i="4" l="1"/>
  <c r="M172" i="4" s="1"/>
  <c r="N172" i="4" s="1"/>
  <c r="O172" i="4" s="1"/>
  <c r="F173" i="4" l="1"/>
  <c r="H180" i="4"/>
  <c r="E173" i="4" l="1"/>
  <c r="G173" i="4"/>
  <c r="L180" i="4"/>
  <c r="I173" i="4" l="1"/>
  <c r="M173" i="4" s="1"/>
  <c r="N173" i="4" s="1"/>
  <c r="O173" i="4" s="1"/>
  <c r="F174" i="4" l="1"/>
  <c r="H181" i="4"/>
  <c r="L181" i="4" l="1"/>
  <c r="E174" i="4"/>
  <c r="G174" i="4"/>
  <c r="I174" i="4" l="1"/>
  <c r="M174" i="4" s="1"/>
  <c r="N174" i="4" s="1"/>
  <c r="O174" i="4" s="1"/>
  <c r="F175" i="4" l="1"/>
  <c r="H182" i="4"/>
  <c r="L182" i="4" l="1"/>
  <c r="E175" i="4"/>
  <c r="G175" i="4"/>
  <c r="I175" i="4" l="1"/>
  <c r="M175" i="4" s="1"/>
  <c r="N175" i="4" s="1"/>
  <c r="O175" i="4" s="1"/>
  <c r="F176" i="4" l="1"/>
  <c r="H183" i="4"/>
  <c r="G176" i="4" l="1"/>
  <c r="E176" i="4"/>
  <c r="L183" i="4"/>
  <c r="I176" i="4" l="1"/>
  <c r="M176" i="4" s="1"/>
  <c r="N176" i="4" s="1"/>
  <c r="O176" i="4" s="1"/>
  <c r="F177" i="4" l="1"/>
  <c r="H184" i="4"/>
  <c r="L184" i="4" l="1"/>
  <c r="E177" i="4"/>
  <c r="G177" i="4"/>
  <c r="I177" i="4" l="1"/>
  <c r="M177" i="4" s="1"/>
  <c r="N177" i="4" s="1"/>
  <c r="O177" i="4" s="1"/>
  <c r="H185" i="4" l="1"/>
  <c r="F178" i="4"/>
  <c r="E178" i="4" l="1"/>
  <c r="G178" i="4"/>
  <c r="L185" i="4"/>
  <c r="I178" i="4" l="1"/>
  <c r="M178" i="4" s="1"/>
  <c r="N178" i="4" s="1"/>
  <c r="O178" i="4" s="1"/>
  <c r="F179" i="4" s="1"/>
  <c r="G179" i="4" s="1"/>
  <c r="E179" i="4" l="1"/>
  <c r="I179" i="4" s="1"/>
  <c r="M179" i="4" s="1"/>
  <c r="N179" i="4" s="1"/>
  <c r="O179" i="4" s="1"/>
  <c r="H186" i="4"/>
  <c r="L186" i="4" s="1"/>
  <c r="F180" i="4" l="1"/>
  <c r="H187" i="4"/>
  <c r="E180" i="4" l="1"/>
  <c r="G180" i="4"/>
  <c r="L187" i="4"/>
  <c r="I180" i="4" l="1"/>
  <c r="M180" i="4" s="1"/>
  <c r="N180" i="4" s="1"/>
  <c r="O180" i="4" s="1"/>
  <c r="F181" i="4" l="1"/>
  <c r="H188" i="4"/>
  <c r="G181" i="4" l="1"/>
  <c r="E181" i="4"/>
  <c r="L188" i="4"/>
  <c r="I181" i="4" l="1"/>
  <c r="M181" i="4" s="1"/>
  <c r="N181" i="4" s="1"/>
  <c r="O181" i="4" s="1"/>
  <c r="F182" i="4" l="1"/>
  <c r="H189" i="4"/>
  <c r="E182" i="4" l="1"/>
  <c r="G182" i="4"/>
  <c r="L189" i="4"/>
  <c r="I182" i="4" l="1"/>
  <c r="M182" i="4" s="1"/>
  <c r="N182" i="4" s="1"/>
  <c r="O182" i="4" s="1"/>
  <c r="F183" i="4" l="1"/>
  <c r="H190" i="4"/>
  <c r="G183" i="4" l="1"/>
  <c r="E183" i="4"/>
  <c r="L190" i="4"/>
  <c r="I183" i="4" l="1"/>
  <c r="M183" i="4" s="1"/>
  <c r="N183" i="4" s="1"/>
  <c r="O183" i="4" s="1"/>
  <c r="F184" i="4" l="1"/>
  <c r="H191" i="4"/>
  <c r="E184" i="4" l="1"/>
  <c r="G184" i="4"/>
  <c r="L191" i="4"/>
  <c r="I184" i="4" l="1"/>
  <c r="M184" i="4" s="1"/>
  <c r="N184" i="4" s="1"/>
  <c r="O184" i="4" s="1"/>
  <c r="F185" i="4" l="1"/>
  <c r="H192" i="4"/>
  <c r="L192" i="4" l="1"/>
  <c r="G185" i="4"/>
  <c r="E185" i="4"/>
  <c r="I185" i="4" l="1"/>
  <c r="M185" i="4" s="1"/>
  <c r="N185" i="4" s="1"/>
  <c r="O185" i="4" s="1"/>
  <c r="F186" i="4" l="1"/>
  <c r="H193" i="4"/>
  <c r="L193" i="4" l="1"/>
  <c r="G186" i="4"/>
  <c r="E186" i="4"/>
  <c r="I186" i="4" l="1"/>
  <c r="M186" i="4" s="1"/>
  <c r="N186" i="4" s="1"/>
  <c r="O186" i="4" s="1"/>
  <c r="H194" i="4" l="1"/>
  <c r="F187" i="4"/>
  <c r="L194" i="4" l="1"/>
  <c r="G187" i="4"/>
  <c r="E187" i="4"/>
  <c r="I187" i="4" l="1"/>
  <c r="M187" i="4" s="1"/>
  <c r="N187" i="4" s="1"/>
  <c r="O187" i="4" s="1"/>
  <c r="H195" i="4" l="1"/>
  <c r="F188" i="4"/>
  <c r="G188" i="4" l="1"/>
  <c r="E188" i="4"/>
  <c r="L195" i="4"/>
  <c r="I188" i="4" l="1"/>
  <c r="M188" i="4" s="1"/>
  <c r="N188" i="4" s="1"/>
  <c r="O188" i="4" s="1"/>
  <c r="F189" i="4" l="1"/>
  <c r="H196" i="4"/>
  <c r="G189" i="4" l="1"/>
  <c r="E189" i="4"/>
  <c r="L196" i="4"/>
  <c r="I189" i="4" l="1"/>
  <c r="M189" i="4" s="1"/>
  <c r="N189" i="4" s="1"/>
  <c r="O189" i="4" s="1"/>
  <c r="F190" i="4" l="1"/>
  <c r="H197" i="4"/>
  <c r="E190" i="4" l="1"/>
  <c r="G190" i="4"/>
  <c r="L197" i="4"/>
  <c r="I190" i="4" l="1"/>
  <c r="M190" i="4" s="1"/>
  <c r="N190" i="4" s="1"/>
  <c r="O190" i="4" s="1"/>
  <c r="F191" i="4" l="1"/>
  <c r="H198" i="4"/>
  <c r="L198" i="4" l="1"/>
  <c r="E191" i="4"/>
  <c r="G191" i="4"/>
  <c r="I191" i="4" l="1"/>
  <c r="M191" i="4" s="1"/>
  <c r="N191" i="4" s="1"/>
  <c r="O191" i="4" s="1"/>
  <c r="F192" i="4" l="1"/>
  <c r="H199" i="4"/>
  <c r="E192" i="4" l="1"/>
  <c r="G192" i="4"/>
  <c r="L199" i="4"/>
  <c r="I192" i="4" l="1"/>
  <c r="M192" i="4" s="1"/>
  <c r="N192" i="4" s="1"/>
  <c r="O192" i="4" s="1"/>
  <c r="F193" i="4" s="1"/>
  <c r="G193" i="4" s="1"/>
  <c r="E193" i="4" l="1"/>
  <c r="I193" i="4" s="1"/>
  <c r="M193" i="4" s="1"/>
  <c r="N193" i="4" s="1"/>
  <c r="O193" i="4" s="1"/>
  <c r="F194" i="4" s="1"/>
  <c r="H200" i="4"/>
  <c r="L200" i="4" s="1"/>
  <c r="H201" i="4" l="1"/>
  <c r="G194" i="4"/>
  <c r="E194" i="4"/>
  <c r="I194" i="4" l="1"/>
  <c r="M194" i="4" s="1"/>
  <c r="N194" i="4" s="1"/>
  <c r="O194" i="4" s="1"/>
  <c r="L201" i="4"/>
  <c r="F195" i="4" l="1"/>
  <c r="H202" i="4"/>
  <c r="L202" i="4" l="1"/>
  <c r="G195" i="4"/>
  <c r="E195" i="4"/>
  <c r="I195" i="4" l="1"/>
  <c r="M195" i="4" s="1"/>
  <c r="N195" i="4" s="1"/>
  <c r="O195" i="4" s="1"/>
  <c r="F196" i="4" l="1"/>
  <c r="H203" i="4"/>
  <c r="L203" i="4" l="1"/>
  <c r="E196" i="4"/>
  <c r="G196" i="4"/>
  <c r="I196" i="4" l="1"/>
  <c r="M196" i="4" s="1"/>
  <c r="N196" i="4" s="1"/>
  <c r="O196" i="4" s="1"/>
  <c r="F197" i="4" l="1"/>
  <c r="H204" i="4"/>
  <c r="L204" i="4" l="1"/>
  <c r="E197" i="4"/>
  <c r="G197" i="4"/>
  <c r="I197" i="4" l="1"/>
  <c r="M197" i="4" s="1"/>
  <c r="N197" i="4" s="1"/>
  <c r="O197" i="4" s="1"/>
  <c r="H205" i="4" l="1"/>
  <c r="F198" i="4"/>
  <c r="G198" i="4" l="1"/>
  <c r="E198" i="4"/>
  <c r="L205" i="4"/>
  <c r="I198" i="4" l="1"/>
  <c r="M198" i="4" s="1"/>
  <c r="N198" i="4" s="1"/>
  <c r="O198" i="4" s="1"/>
  <c r="F199" i="4" l="1"/>
  <c r="H206" i="4"/>
  <c r="L206" i="4" l="1"/>
  <c r="E199" i="4"/>
  <c r="G199" i="4"/>
  <c r="I199" i="4" l="1"/>
  <c r="M199" i="4" s="1"/>
  <c r="N199" i="4" s="1"/>
  <c r="O199" i="4" s="1"/>
  <c r="F200" i="4" l="1"/>
  <c r="H207" i="4"/>
  <c r="L207" i="4" l="1"/>
  <c r="E200" i="4"/>
  <c r="G200" i="4"/>
  <c r="I200" i="4" l="1"/>
  <c r="M200" i="4" s="1"/>
  <c r="N200" i="4" s="1"/>
  <c r="O200" i="4" s="1"/>
  <c r="F201" i="4" l="1"/>
  <c r="H208" i="4"/>
  <c r="L208" i="4" l="1"/>
  <c r="G201" i="4"/>
  <c r="E201" i="4"/>
  <c r="I201" i="4" l="1"/>
  <c r="M201" i="4" s="1"/>
  <c r="N201" i="4" s="1"/>
  <c r="O201" i="4" s="1"/>
  <c r="F202" i="4" l="1"/>
  <c r="H209" i="4"/>
  <c r="L209" i="4" l="1"/>
  <c r="G202" i="4"/>
  <c r="E202" i="4"/>
  <c r="I202" i="4" l="1"/>
  <c r="M202" i="4" s="1"/>
  <c r="N202" i="4" s="1"/>
  <c r="O202" i="4" s="1"/>
  <c r="F203" i="4" s="1"/>
  <c r="E203" i="4" s="1"/>
  <c r="H210" i="4" l="1"/>
  <c r="L210" i="4" s="1"/>
  <c r="G203" i="4"/>
  <c r="I203" i="4" s="1"/>
  <c r="M203" i="4" s="1"/>
  <c r="N203" i="4" s="1"/>
  <c r="O203" i="4" s="1"/>
  <c r="F204" i="4" s="1"/>
  <c r="E204" i="4" l="1"/>
  <c r="G204" i="4"/>
  <c r="H211" i="4"/>
  <c r="L211" i="4" l="1"/>
  <c r="I204" i="4"/>
  <c r="M204" i="4" s="1"/>
  <c r="N204" i="4" s="1"/>
  <c r="O204" i="4" s="1"/>
  <c r="F205" i="4" l="1"/>
  <c r="H212" i="4"/>
  <c r="G205" i="4" l="1"/>
  <c r="E205" i="4"/>
  <c r="L212" i="4"/>
  <c r="I205" i="4" l="1"/>
  <c r="M205" i="4" s="1"/>
  <c r="N205" i="4" s="1"/>
  <c r="O205" i="4" s="1"/>
  <c r="F206" i="4" l="1"/>
  <c r="H213" i="4"/>
  <c r="L213" i="4" l="1"/>
  <c r="G206" i="4"/>
  <c r="E206" i="4"/>
  <c r="I206" i="4" l="1"/>
  <c r="M206" i="4" s="1"/>
  <c r="N206" i="4" s="1"/>
  <c r="O206" i="4" s="1"/>
  <c r="H214" i="4" l="1"/>
  <c r="F207" i="4"/>
  <c r="E207" i="4" l="1"/>
  <c r="G207" i="4"/>
  <c r="L214" i="4"/>
  <c r="I207" i="4" l="1"/>
  <c r="M207" i="4" s="1"/>
  <c r="N207" i="4" s="1"/>
  <c r="O207" i="4" s="1"/>
  <c r="H215" i="4" l="1"/>
  <c r="F208" i="4"/>
  <c r="E208" i="4" l="1"/>
  <c r="G208" i="4"/>
  <c r="L215" i="4"/>
  <c r="I208" i="4" l="1"/>
  <c r="M208" i="4" s="1"/>
  <c r="N208" i="4" s="1"/>
  <c r="O208" i="4" s="1"/>
  <c r="F209" i="4" l="1"/>
  <c r="H216" i="4"/>
  <c r="G209" i="4" l="1"/>
  <c r="E209" i="4"/>
  <c r="L216" i="4"/>
  <c r="I209" i="4" l="1"/>
  <c r="M209" i="4" s="1"/>
  <c r="N209" i="4" s="1"/>
  <c r="O209" i="4" s="1"/>
  <c r="F210" i="4" l="1"/>
  <c r="H217" i="4"/>
  <c r="E210" i="4" l="1"/>
  <c r="G210" i="4"/>
  <c r="L217" i="4"/>
  <c r="I210" i="4" l="1"/>
  <c r="M210" i="4" s="1"/>
  <c r="N210" i="4" s="1"/>
  <c r="O210" i="4" s="1"/>
  <c r="F211" i="4" l="1"/>
  <c r="H218" i="4"/>
  <c r="L218" i="4" l="1"/>
  <c r="E211" i="4"/>
  <c r="G211" i="4"/>
  <c r="I211" i="4" l="1"/>
  <c r="M211" i="4" s="1"/>
  <c r="N211" i="4" s="1"/>
  <c r="O211" i="4" s="1"/>
  <c r="F212" i="4" l="1"/>
  <c r="H219" i="4"/>
  <c r="L219" i="4" l="1"/>
  <c r="E212" i="4"/>
  <c r="G212" i="4"/>
  <c r="I212" i="4" l="1"/>
  <c r="M212" i="4" s="1"/>
  <c r="N212" i="4" s="1"/>
  <c r="O212" i="4" s="1"/>
  <c r="H220" i="4" l="1"/>
  <c r="F213" i="4"/>
  <c r="L220" i="4" l="1"/>
  <c r="G213" i="4"/>
  <c r="E213" i="4"/>
  <c r="I213" i="4" l="1"/>
  <c r="M213" i="4" s="1"/>
  <c r="N213" i="4" s="1"/>
  <c r="O213" i="4" s="1"/>
  <c r="H221" i="4" l="1"/>
  <c r="F214" i="4"/>
  <c r="G214" i="4" l="1"/>
  <c r="E214" i="4"/>
  <c r="L221" i="4"/>
  <c r="I214" i="4" l="1"/>
  <c r="M214" i="4" s="1"/>
  <c r="N214" i="4" s="1"/>
  <c r="O214" i="4" s="1"/>
  <c r="F215" i="4" l="1"/>
  <c r="H222" i="4"/>
  <c r="E215" i="4" l="1"/>
  <c r="G215" i="4"/>
  <c r="L222" i="4"/>
  <c r="I215" i="4" l="1"/>
  <c r="M215" i="4" s="1"/>
  <c r="N215" i="4" s="1"/>
  <c r="O215" i="4" s="1"/>
  <c r="F216" i="4" l="1"/>
  <c r="H223" i="4"/>
  <c r="L223" i="4" l="1"/>
  <c r="E216" i="4"/>
  <c r="G216" i="4"/>
  <c r="I216" i="4" l="1"/>
  <c r="M216" i="4" s="1"/>
  <c r="N216" i="4" s="1"/>
  <c r="O216" i="4" s="1"/>
  <c r="F217" i="4" l="1"/>
  <c r="H224" i="4"/>
  <c r="L224" i="4" l="1"/>
  <c r="E217" i="4"/>
  <c r="G217" i="4"/>
  <c r="I217" i="4" l="1"/>
  <c r="M217" i="4" s="1"/>
  <c r="N217" i="4" s="1"/>
  <c r="O217" i="4" s="1"/>
  <c r="H225" i="4" l="1"/>
  <c r="F218" i="4"/>
  <c r="L225" i="4" l="1"/>
  <c r="E218" i="4"/>
  <c r="G218" i="4"/>
  <c r="I218" i="4" l="1"/>
  <c r="M218" i="4" s="1"/>
  <c r="N218" i="4" s="1"/>
  <c r="O218" i="4" s="1"/>
  <c r="F219" i="4" l="1"/>
  <c r="H226" i="4"/>
  <c r="L226" i="4" l="1"/>
  <c r="E219" i="4"/>
  <c r="G219" i="4"/>
  <c r="I219" i="4" l="1"/>
  <c r="M219" i="4" s="1"/>
  <c r="N219" i="4" s="1"/>
  <c r="O219" i="4" s="1"/>
  <c r="F220" i="4" l="1"/>
  <c r="H227" i="4"/>
  <c r="L227" i="4" l="1"/>
  <c r="G220" i="4"/>
  <c r="E220" i="4"/>
  <c r="I220" i="4" l="1"/>
  <c r="M220" i="4" s="1"/>
  <c r="N220" i="4" s="1"/>
  <c r="O220" i="4" s="1"/>
  <c r="F221" i="4" l="1"/>
  <c r="H228" i="4"/>
  <c r="G221" i="4" l="1"/>
  <c r="E221" i="4"/>
  <c r="L228" i="4"/>
  <c r="I221" i="4" l="1"/>
  <c r="M221" i="4" s="1"/>
  <c r="N221" i="4" s="1"/>
  <c r="O221" i="4" s="1"/>
  <c r="F222" i="4" s="1"/>
  <c r="G222" i="4" s="1"/>
  <c r="H229" i="4" l="1"/>
  <c r="L229" i="4" s="1"/>
  <c r="E222" i="4"/>
  <c r="I222" i="4" s="1"/>
  <c r="M222" i="4" s="1"/>
  <c r="N222" i="4" s="1"/>
  <c r="O222" i="4" s="1"/>
  <c r="F223" i="4" s="1"/>
  <c r="E223" i="4" s="1"/>
  <c r="G223" i="4" l="1"/>
  <c r="I223" i="4" s="1"/>
  <c r="M223" i="4" s="1"/>
  <c r="N223" i="4" s="1"/>
  <c r="O223" i="4" s="1"/>
  <c r="H230" i="4"/>
  <c r="L230" i="4" s="1"/>
  <c r="F224" i="4" l="1"/>
  <c r="G224" i="4" s="1"/>
  <c r="H231" i="4"/>
  <c r="L231" i="4" s="1"/>
  <c r="E224" i="4" l="1"/>
  <c r="I224" i="4" s="1"/>
  <c r="M224" i="4" s="1"/>
  <c r="N224" i="4" s="1"/>
  <c r="O224" i="4" s="1"/>
  <c r="F225" i="4" l="1"/>
  <c r="H232" i="4"/>
  <c r="L232" i="4" l="1"/>
  <c r="E225" i="4"/>
  <c r="G225" i="4"/>
  <c r="I225" i="4" l="1"/>
  <c r="M225" i="4" s="1"/>
  <c r="N225" i="4" s="1"/>
  <c r="O225" i="4" s="1"/>
  <c r="H233" i="4" l="1"/>
  <c r="F226" i="4"/>
  <c r="G226" i="4" l="1"/>
  <c r="E226" i="4"/>
  <c r="L233" i="4"/>
  <c r="I226" i="4" l="1"/>
  <c r="M226" i="4" s="1"/>
  <c r="N226" i="4" s="1"/>
  <c r="O226" i="4" s="1"/>
  <c r="F227" i="4" l="1"/>
  <c r="H234" i="4"/>
  <c r="L234" i="4" l="1"/>
  <c r="E227" i="4"/>
  <c r="G227" i="4"/>
  <c r="I227" i="4" l="1"/>
  <c r="M227" i="4" s="1"/>
  <c r="N227" i="4" s="1"/>
  <c r="O227" i="4" s="1"/>
  <c r="F228" i="4" l="1"/>
  <c r="H235" i="4"/>
  <c r="E228" i="4" l="1"/>
  <c r="G228" i="4"/>
  <c r="L235" i="4"/>
  <c r="I228" i="4" l="1"/>
  <c r="M228" i="4" s="1"/>
  <c r="N228" i="4" s="1"/>
  <c r="O228" i="4" s="1"/>
  <c r="F229" i="4" l="1"/>
  <c r="H236" i="4"/>
  <c r="G229" i="4" l="1"/>
  <c r="E229" i="4"/>
  <c r="L236" i="4"/>
  <c r="I229" i="4" l="1"/>
  <c r="M229" i="4" s="1"/>
  <c r="N229" i="4" s="1"/>
  <c r="O229" i="4" s="1"/>
  <c r="F230" i="4" l="1"/>
  <c r="H237" i="4"/>
  <c r="L237" i="4" l="1"/>
  <c r="G230" i="4"/>
  <c r="E230" i="4"/>
  <c r="I230" i="4" l="1"/>
  <c r="M230" i="4" s="1"/>
  <c r="N230" i="4" s="1"/>
  <c r="O230" i="4" s="1"/>
  <c r="F231" i="4" l="1"/>
  <c r="H238" i="4"/>
  <c r="E231" i="4" l="1"/>
  <c r="G231" i="4"/>
  <c r="L238" i="4"/>
  <c r="I231" i="4" l="1"/>
  <c r="M231" i="4" s="1"/>
  <c r="N231" i="4" s="1"/>
  <c r="O231" i="4" s="1"/>
  <c r="F232" i="4" s="1"/>
  <c r="G232" i="4" s="1"/>
  <c r="E232" i="4" l="1"/>
  <c r="I232" i="4" s="1"/>
  <c r="M232" i="4" s="1"/>
  <c r="N232" i="4" s="1"/>
  <c r="O232" i="4" s="1"/>
  <c r="F233" i="4" s="1"/>
  <c r="G233" i="4" s="1"/>
  <c r="H239" i="4"/>
  <c r="L239" i="4" s="1"/>
  <c r="H240" i="4" l="1"/>
  <c r="L240" i="4" s="1"/>
  <c r="E233" i="4"/>
  <c r="I233" i="4" s="1"/>
  <c r="M233" i="4" s="1"/>
  <c r="N233" i="4" s="1"/>
  <c r="O233" i="4" s="1"/>
  <c r="F234" i="4" s="1"/>
  <c r="E234" i="4" l="1"/>
  <c r="G234" i="4"/>
  <c r="H241" i="4"/>
  <c r="L241" i="4" l="1"/>
  <c r="I234" i="4"/>
  <c r="M234" i="4" s="1"/>
  <c r="N234" i="4" s="1"/>
  <c r="O234" i="4" s="1"/>
  <c r="F235" i="4" l="1"/>
  <c r="H242" i="4"/>
  <c r="L242" i="4" l="1"/>
  <c r="E235" i="4"/>
  <c r="G235" i="4"/>
  <c r="I235" i="4" l="1"/>
  <c r="M235" i="4" s="1"/>
  <c r="N235" i="4" s="1"/>
  <c r="O235" i="4" s="1"/>
  <c r="H243" i="4" l="1"/>
  <c r="F236" i="4"/>
  <c r="E236" i="4" l="1"/>
  <c r="G236" i="4"/>
  <c r="L243" i="4"/>
  <c r="I236" i="4" l="1"/>
  <c r="M236" i="4" s="1"/>
  <c r="N236" i="4" s="1"/>
  <c r="O236" i="4" s="1"/>
  <c r="H244" i="4" l="1"/>
  <c r="F237" i="4"/>
  <c r="E237" i="4" l="1"/>
  <c r="G237" i="4"/>
  <c r="L244" i="4"/>
  <c r="I237" i="4" l="1"/>
  <c r="M237" i="4" s="1"/>
  <c r="N237" i="4" s="1"/>
  <c r="O237" i="4" s="1"/>
  <c r="F238" i="4" l="1"/>
  <c r="H245" i="4"/>
  <c r="E238" i="4" l="1"/>
  <c r="G238" i="4"/>
  <c r="L245" i="4"/>
  <c r="I238" i="4" l="1"/>
  <c r="M238" i="4" s="1"/>
  <c r="N238" i="4" s="1"/>
  <c r="O238" i="4" s="1"/>
  <c r="F239" i="4" l="1"/>
  <c r="H246" i="4"/>
  <c r="L246" i="4" l="1"/>
  <c r="E239" i="4"/>
  <c r="G239" i="4"/>
  <c r="I239" i="4" l="1"/>
  <c r="M239" i="4" s="1"/>
  <c r="N239" i="4" s="1"/>
  <c r="O239" i="4" s="1"/>
  <c r="F240" i="4" s="1"/>
  <c r="E240" i="4" s="1"/>
  <c r="H247" i="4" l="1"/>
  <c r="L247" i="4" s="1"/>
  <c r="G240" i="4"/>
  <c r="I240" i="4" s="1"/>
  <c r="M240" i="4" s="1"/>
  <c r="N240" i="4" s="1"/>
  <c r="O240" i="4" s="1"/>
  <c r="F241" i="4" s="1"/>
  <c r="G241" i="4" l="1"/>
  <c r="E241" i="4"/>
  <c r="H248" i="4"/>
  <c r="I241" i="4" l="1"/>
  <c r="M241" i="4" s="1"/>
  <c r="N241" i="4" s="1"/>
  <c r="O241" i="4" s="1"/>
  <c r="F242" i="4" s="1"/>
  <c r="E242" i="4" s="1"/>
  <c r="L248" i="4"/>
  <c r="G242" i="4" l="1"/>
  <c r="I242" i="4" s="1"/>
  <c r="M242" i="4" s="1"/>
  <c r="N242" i="4" s="1"/>
  <c r="O242" i="4" s="1"/>
  <c r="F243" i="4" s="1"/>
  <c r="H249" i="4"/>
  <c r="L249" i="4" s="1"/>
  <c r="E243" i="4" l="1"/>
  <c r="G243" i="4"/>
  <c r="H250" i="4"/>
  <c r="L250" i="4" l="1"/>
  <c r="I243" i="4"/>
  <c r="M243" i="4" s="1"/>
  <c r="N243" i="4" s="1"/>
  <c r="O243" i="4" s="1"/>
  <c r="F244" i="4" l="1"/>
  <c r="H251" i="4"/>
  <c r="L251" i="4" l="1"/>
  <c r="E244" i="4"/>
  <c r="G244" i="4"/>
  <c r="I244" i="4" l="1"/>
  <c r="M244" i="4" s="1"/>
  <c r="N244" i="4" s="1"/>
  <c r="O244" i="4" s="1"/>
  <c r="F245" i="4" l="1"/>
  <c r="H252" i="4"/>
  <c r="G245" i="4" l="1"/>
  <c r="E245" i="4"/>
  <c r="L252" i="4"/>
  <c r="I245" i="4" l="1"/>
  <c r="M245" i="4" s="1"/>
  <c r="N245" i="4" s="1"/>
  <c r="O245" i="4" s="1"/>
  <c r="F246" i="4" l="1"/>
  <c r="H253" i="4"/>
  <c r="E246" i="4" l="1"/>
  <c r="G246" i="4"/>
  <c r="L253" i="4"/>
  <c r="I246" i="4" l="1"/>
  <c r="M246" i="4" s="1"/>
  <c r="N246" i="4" s="1"/>
  <c r="O246" i="4" s="1"/>
  <c r="F247" i="4" l="1"/>
  <c r="H254" i="4"/>
  <c r="L254" i="4" l="1"/>
  <c r="E247" i="4"/>
  <c r="G247" i="4"/>
  <c r="I247" i="4" l="1"/>
  <c r="M247" i="4" s="1"/>
  <c r="N247" i="4" s="1"/>
  <c r="O247" i="4" s="1"/>
  <c r="H255" i="4" s="1"/>
  <c r="L255" i="4" s="1"/>
  <c r="F248" i="4" l="1"/>
  <c r="G248" i="4" s="1"/>
  <c r="E248" i="4" l="1"/>
  <c r="I248" i="4" s="1"/>
  <c r="M248" i="4" s="1"/>
  <c r="N248" i="4" s="1"/>
  <c r="O248" i="4" s="1"/>
  <c r="H256" i="4" l="1"/>
  <c r="F249" i="4"/>
  <c r="L256" i="4" l="1"/>
  <c r="E249" i="4"/>
  <c r="G249" i="4"/>
  <c r="I249" i="4" l="1"/>
  <c r="M249" i="4" s="1"/>
  <c r="N249" i="4" s="1"/>
  <c r="O249" i="4" s="1"/>
  <c r="H257" i="4" s="1"/>
  <c r="L257" i="4" s="1"/>
  <c r="F250" i="4" l="1"/>
  <c r="E250" i="4" s="1"/>
  <c r="G250" i="4" l="1"/>
  <c r="I250" i="4" s="1"/>
  <c r="M250" i="4" s="1"/>
  <c r="N250" i="4" s="1"/>
  <c r="O250" i="4" s="1"/>
  <c r="H258" i="4" l="1"/>
  <c r="F251" i="4"/>
  <c r="G251" i="4" l="1"/>
  <c r="E251" i="4"/>
  <c r="L258" i="4"/>
  <c r="I251" i="4" l="1"/>
  <c r="M251" i="4" s="1"/>
  <c r="N251" i="4" s="1"/>
  <c r="O251" i="4" s="1"/>
  <c r="H259" i="4" l="1"/>
  <c r="F252" i="4"/>
  <c r="L259" i="4" l="1"/>
  <c r="G252" i="4"/>
  <c r="E252" i="4"/>
  <c r="I252" i="4" l="1"/>
  <c r="M252" i="4" s="1"/>
  <c r="N252" i="4" s="1"/>
  <c r="O252" i="4" s="1"/>
  <c r="H260" i="4" s="1"/>
  <c r="L260" i="4" s="1"/>
  <c r="F253" i="4" l="1"/>
  <c r="G253" i="4" s="1"/>
  <c r="E253" i="4" l="1"/>
  <c r="I253" i="4" s="1"/>
  <c r="M253" i="4" s="1"/>
  <c r="N253" i="4" s="1"/>
  <c r="O253" i="4" s="1"/>
  <c r="F254" i="4" s="1"/>
  <c r="H261" i="4" l="1"/>
  <c r="L261" i="4" s="1"/>
  <c r="G254" i="4"/>
  <c r="E254" i="4"/>
  <c r="I254" i="4" l="1"/>
  <c r="M254" i="4" s="1"/>
  <c r="N254" i="4" s="1"/>
  <c r="O254" i="4" s="1"/>
  <c r="F255" i="4" l="1"/>
  <c r="H262" i="4"/>
  <c r="L262" i="4" s="1"/>
  <c r="E255" i="4" l="1"/>
  <c r="G255" i="4"/>
  <c r="I255" i="4" l="1"/>
  <c r="M255" i="4" s="1"/>
  <c r="N255" i="4" s="1"/>
  <c r="O255" i="4" s="1"/>
  <c r="F256" i="4" s="1"/>
  <c r="E256" i="4" l="1"/>
  <c r="G256" i="4"/>
  <c r="I256" i="4" l="1"/>
  <c r="M256" i="4" s="1"/>
  <c r="N256" i="4" s="1"/>
  <c r="O256" i="4" s="1"/>
  <c r="F257" i="4" s="1"/>
  <c r="E257" i="4" l="1"/>
  <c r="G257" i="4"/>
  <c r="I257" i="4" l="1"/>
  <c r="M257" i="4" s="1"/>
  <c r="N257" i="4" s="1"/>
  <c r="O257" i="4" s="1"/>
  <c r="F258" i="4" s="1"/>
  <c r="E258" i="4" l="1"/>
  <c r="G258" i="4"/>
  <c r="I258" i="4" l="1"/>
  <c r="M258" i="4" s="1"/>
  <c r="N258" i="4" s="1"/>
  <c r="O258" i="4" s="1"/>
  <c r="F259" i="4" s="1"/>
  <c r="G259" i="4" l="1"/>
  <c r="E259" i="4"/>
  <c r="I259" i="4" l="1"/>
  <c r="M259" i="4" s="1"/>
  <c r="N259" i="4" s="1"/>
  <c r="O259" i="4" s="1"/>
  <c r="F260" i="4" s="1"/>
  <c r="G260" i="4" l="1"/>
  <c r="E260" i="4"/>
  <c r="I260" i="4" l="1"/>
  <c r="M260" i="4" s="1"/>
  <c r="N260" i="4" s="1"/>
  <c r="O260" i="4" s="1"/>
  <c r="F261" i="4" s="1"/>
  <c r="E261" i="4" l="1"/>
  <c r="G261" i="4"/>
  <c r="I261" i="4" l="1"/>
  <c r="M261" i="4" s="1"/>
  <c r="N261" i="4" s="1"/>
  <c r="O261" i="4" s="1"/>
  <c r="F262" i="4" s="1"/>
  <c r="G262" i="4" l="1"/>
  <c r="E262" i="4"/>
  <c r="I262" i="4" l="1"/>
  <c r="M262" i="4" s="1"/>
  <c r="N262" i="4" s="1"/>
  <c r="O262" i="4" s="1"/>
</calcChain>
</file>

<file path=xl/sharedStrings.xml><?xml version="1.0" encoding="utf-8"?>
<sst xmlns="http://schemas.openxmlformats.org/spreadsheetml/2006/main" count="22" uniqueCount="21">
  <si>
    <t>Número de empleados centro de trabajo</t>
  </si>
  <si>
    <t>Número de compañeros con los que se tiene trato cada día</t>
  </si>
  <si>
    <t>Empleados sanos</t>
  </si>
  <si>
    <t>Empleados infectados</t>
  </si>
  <si>
    <t>Infecciones en el día</t>
  </si>
  <si>
    <t>% Infectados en la oficina</t>
  </si>
  <si>
    <t>P(infectarse en el día)</t>
  </si>
  <si>
    <t>P(contagiarse en el día | contacto físico con 1 infectado)</t>
  </si>
  <si>
    <t>Núm. infectados contacto físico</t>
  </si>
  <si>
    <t>Empleados infectados - ALTA</t>
  </si>
  <si>
    <t>Empleados infectados - BAJA</t>
  </si>
  <si>
    <t>Días incubación enfermedad (días contagiando hasta baja)</t>
  </si>
  <si>
    <t>Al empezar el día…</t>
  </si>
  <si>
    <t>Núm. compañeros contacto físico</t>
  </si>
  <si>
    <t>Número inicial de empleados infectados</t>
  </si>
  <si>
    <t>P(teletrabajo)</t>
  </si>
  <si>
    <t>Durante el día…</t>
  </si>
  <si>
    <t>Nivel de backup compañeros dados de baja</t>
  </si>
  <si>
    <t>R0</t>
  </si>
  <si>
    <r>
      <t>R</t>
    </r>
    <r>
      <rPr>
        <b/>
        <vertAlign val="subscript"/>
        <sz val="12"/>
        <color rgb="FFFF0000"/>
        <rFont val="Calibri"/>
        <family val="2"/>
        <scheme val="minor"/>
      </rPr>
      <t>0</t>
    </r>
  </si>
  <si>
    <t>Teletrabajo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</si>
</sst>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#,##0.0"/>
    <numFmt numFmtId="166" formatCode="0.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vertAlign val="subscript"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3" fontId="0" fillId="0" borderId="0" xfId="0" applyNumberFormat="1"/>
    <xf numFmtId="0" fontId="2" fillId="0" borderId="0" xfId="0" applyFont="1"/>
    <xf numFmtId="0" fontId="2" fillId="2" borderId="0" xfId="0" applyFont="1" applyFill="1"/>
    <xf numFmtId="0" fontId="0" fillId="0" borderId="0" xfId="0" applyBorder="1"/>
    <xf numFmtId="3" fontId="0" fillId="0" borderId="3" xfId="0" applyNumberFormat="1" applyBorder="1"/>
    <xf numFmtId="3" fontId="3" fillId="0" borderId="0" xfId="0" applyNumberFormat="1" applyFont="1" applyAlignment="1">
      <alignment wrapText="1"/>
    </xf>
    <xf numFmtId="0" fontId="3" fillId="0" borderId="0" xfId="0" applyFont="1" applyAlignment="1">
      <alignment wrapText="1"/>
    </xf>
    <xf numFmtId="3" fontId="0" fillId="2" borderId="2" xfId="0" applyNumberFormat="1" applyFill="1" applyBorder="1"/>
    <xf numFmtId="3" fontId="0" fillId="2" borderId="3" xfId="0" applyNumberFormat="1" applyFill="1" applyBorder="1"/>
    <xf numFmtId="3" fontId="0" fillId="0" borderId="4" xfId="0" applyNumberFormat="1" applyBorder="1"/>
    <xf numFmtId="3" fontId="0" fillId="2" borderId="4" xfId="0" applyNumberFormat="1" applyFill="1" applyBorder="1"/>
    <xf numFmtId="3" fontId="0" fillId="0" borderId="6" xfId="0" applyNumberFormat="1" applyFont="1" applyBorder="1" applyAlignment="1">
      <alignment wrapText="1"/>
    </xf>
    <xf numFmtId="3" fontId="0" fillId="0" borderId="5" xfId="0" applyNumberFormat="1" applyFont="1" applyBorder="1" applyAlignment="1">
      <alignment wrapText="1"/>
    </xf>
    <xf numFmtId="3" fontId="0" fillId="0" borderId="7" xfId="0" applyNumberFormat="1" applyFont="1" applyBorder="1" applyAlignment="1">
      <alignment wrapText="1"/>
    </xf>
    <xf numFmtId="3" fontId="5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165" fontId="0" fillId="0" borderId="4" xfId="0" applyNumberFormat="1" applyBorder="1"/>
    <xf numFmtId="165" fontId="0" fillId="0" borderId="6" xfId="0" applyNumberFormat="1" applyFont="1" applyBorder="1" applyAlignment="1">
      <alignment wrapText="1"/>
    </xf>
    <xf numFmtId="165" fontId="0" fillId="0" borderId="5" xfId="0" applyNumberFormat="1" applyFont="1" applyBorder="1" applyAlignment="1">
      <alignment wrapText="1"/>
    </xf>
    <xf numFmtId="165" fontId="0" fillId="0" borderId="7" xfId="0" applyNumberFormat="1" applyFont="1" applyBorder="1" applyAlignment="1">
      <alignment wrapText="1"/>
    </xf>
    <xf numFmtId="164" fontId="0" fillId="0" borderId="6" xfId="1" applyNumberFormat="1" applyFont="1" applyBorder="1" applyAlignment="1">
      <alignment wrapText="1"/>
    </xf>
    <xf numFmtId="164" fontId="0" fillId="0" borderId="5" xfId="1" applyNumberFormat="1" applyFont="1" applyBorder="1" applyAlignment="1">
      <alignment wrapText="1"/>
    </xf>
    <xf numFmtId="164" fontId="0" fillId="0" borderId="7" xfId="1" applyNumberFormat="1" applyFont="1" applyBorder="1" applyAlignment="1">
      <alignment wrapText="1"/>
    </xf>
    <xf numFmtId="3" fontId="3" fillId="0" borderId="0" xfId="0" applyNumberFormat="1" applyFont="1" applyFill="1" applyAlignment="1">
      <alignment wrapText="1"/>
    </xf>
    <xf numFmtId="165" fontId="0" fillId="0" borderId="1" xfId="0" applyNumberFormat="1" applyBorder="1"/>
    <xf numFmtId="166" fontId="0" fillId="0" borderId="0" xfId="0" applyNumberFormat="1"/>
    <xf numFmtId="3" fontId="4" fillId="3" borderId="8" xfId="0" applyNumberFormat="1" applyFont="1" applyFill="1" applyBorder="1" applyAlignment="1">
      <alignment horizontal="center"/>
    </xf>
    <xf numFmtId="9" fontId="4" fillId="3" borderId="8" xfId="0" applyNumberFormat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0" fillId="0" borderId="1" xfId="1" applyNumberFormat="1" applyFont="1" applyBorder="1"/>
    <xf numFmtId="3" fontId="0" fillId="0" borderId="9" xfId="0" applyNumberFormat="1" applyBorder="1"/>
    <xf numFmtId="164" fontId="0" fillId="0" borderId="0" xfId="1" applyNumberFormat="1" applyFont="1"/>
    <xf numFmtId="164" fontId="4" fillId="3" borderId="8" xfId="0" applyNumberFormat="1" applyFont="1" applyFill="1" applyBorder="1" applyAlignment="1">
      <alignment horizontal="center"/>
    </xf>
    <xf numFmtId="4" fontId="0" fillId="0" borderId="0" xfId="0" applyNumberFormat="1"/>
    <xf numFmtId="0" fontId="6" fillId="0" borderId="0" xfId="0" applyFont="1" applyAlignment="1">
      <alignment horizontal="center" wrapText="1"/>
    </xf>
    <xf numFmtId="3" fontId="2" fillId="0" borderId="0" xfId="0" applyNumberFormat="1" applyFont="1" applyAlignment="1">
      <alignment horizontal="right"/>
    </xf>
    <xf numFmtId="4" fontId="0" fillId="0" borderId="0" xfId="0" applyNumberFormat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600" b="1" baseline="0"/>
              <a:t>Evolución de la infección en 65 días laborables</a:t>
            </a:r>
            <a:endParaRPr lang="es-E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9.9572629461725765E-2"/>
          <c:y val="0.13244569827269015"/>
          <c:w val="0.86262006724288487"/>
          <c:h val="0.6320148629768868"/>
        </c:manualLayout>
      </c:layout>
      <c:lineChart>
        <c:grouping val="standard"/>
        <c:varyColors val="0"/>
        <c:ser>
          <c:idx val="0"/>
          <c:order val="0"/>
          <c:tx>
            <c:strRef>
              <c:f>CoronavirusTeletrabajo!$E$1</c:f>
              <c:strCache>
                <c:ptCount val="1"/>
                <c:pt idx="0">
                  <c:v>Empleados sanos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CoronavirusTeletrabajo!$D$2:$D$67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cat>
          <c:val>
            <c:numRef>
              <c:f>CoronavirusTeletrabajo!$E$2:$E$67</c:f>
              <c:numCache>
                <c:formatCode>#,##0</c:formatCode>
                <c:ptCount val="66"/>
                <c:pt idx="0">
                  <c:v>999</c:v>
                </c:pt>
                <c:pt idx="1">
                  <c:v>998.77349309217061</c:v>
                </c:pt>
                <c:pt idx="2">
                  <c:v>998.49575130242533</c:v>
                </c:pt>
                <c:pt idx="3">
                  <c:v>998.15522105532739</c:v>
                </c:pt>
                <c:pt idx="4">
                  <c:v>997.7377613185987</c:v>
                </c:pt>
                <c:pt idx="5">
                  <c:v>997.22607314889126</c:v>
                </c:pt>
                <c:pt idx="6">
                  <c:v>996.59900801600713</c:v>
                </c:pt>
                <c:pt idx="7">
                  <c:v>995.83073145360459</c:v>
                </c:pt>
                <c:pt idx="8">
                  <c:v>995.11497490892975</c:v>
                </c:pt>
                <c:pt idx="9">
                  <c:v>994.28927331989155</c:v>
                </c:pt>
                <c:pt idx="10">
                  <c:v>993.34061896580738</c:v>
                </c:pt>
                <c:pt idx="11">
                  <c:v>992.25574877772783</c:v>
                </c:pt>
                <c:pt idx="12">
                  <c:v>991.02168080522699</c:v>
                </c:pt>
                <c:pt idx="13">
                  <c:v>989.62649574990974</c:v>
                </c:pt>
                <c:pt idx="14">
                  <c:v>988.06044138562265</c:v>
                </c:pt>
                <c:pt idx="15">
                  <c:v>986.31745822162645</c:v>
                </c:pt>
                <c:pt idx="16">
                  <c:v>984.34706796063131</c:v>
                </c:pt>
                <c:pt idx="17">
                  <c:v>982.124129312317</c:v>
                </c:pt>
                <c:pt idx="18">
                  <c:v>979.62112689180162</c:v>
                </c:pt>
                <c:pt idx="19">
                  <c:v>976.80778581474317</c:v>
                </c:pt>
                <c:pt idx="20">
                  <c:v>973.65050664368096</c:v>
                </c:pt>
                <c:pt idx="21">
                  <c:v>970.11153773497335</c:v>
                </c:pt>
                <c:pt idx="22">
                  <c:v>966.14777315223535</c:v>
                </c:pt>
                <c:pt idx="23">
                  <c:v>961.70902862613218</c:v>
                </c:pt>
                <c:pt idx="24">
                  <c:v>956.74644869634494</c:v>
                </c:pt>
                <c:pt idx="25">
                  <c:v>951.207537786599</c:v>
                </c:pt>
                <c:pt idx="26">
                  <c:v>945.03624841456337</c:v>
                </c:pt>
                <c:pt idx="27">
                  <c:v>938.17323958318582</c:v>
                </c:pt>
                <c:pt idx="28">
                  <c:v>930.55638360676744</c:v>
                </c:pt>
                <c:pt idx="29">
                  <c:v>922.1216266750863</c:v>
                </c:pt>
                <c:pt idx="30">
                  <c:v>912.80434116713707</c:v>
                </c:pt>
                <c:pt idx="31">
                  <c:v>902.54134534892557</c:v>
                </c:pt>
                <c:pt idx="32">
                  <c:v>891.27163190472686</c:v>
                </c:pt>
                <c:pt idx="33">
                  <c:v>878.93829045576103</c:v>
                </c:pt>
                <c:pt idx="34">
                  <c:v>865.49075784714137</c:v>
                </c:pt>
                <c:pt idx="35">
                  <c:v>850.88735966806371</c:v>
                </c:pt>
                <c:pt idx="36">
                  <c:v>835.09806552861551</c:v>
                </c:pt>
                <c:pt idx="37">
                  <c:v>818.10732991264899</c:v>
                </c:pt>
                <c:pt idx="38">
                  <c:v>799.91683228242823</c:v>
                </c:pt>
                <c:pt idx="39">
                  <c:v>780.54786923245251</c:v>
                </c:pt>
                <c:pt idx="40">
                  <c:v>760.04346621430136</c:v>
                </c:pt>
                <c:pt idx="41">
                  <c:v>738.46984784414133</c:v>
                </c:pt>
                <c:pt idx="42">
                  <c:v>715.91705069543036</c:v>
                </c:pt>
                <c:pt idx="43">
                  <c:v>692.49849498331616</c:v>
                </c:pt>
                <c:pt idx="44">
                  <c:v>668.34939346678448</c:v>
                </c:pt>
                <c:pt idx="45">
                  <c:v>643.62396543896466</c:v>
                </c:pt>
                <c:pt idx="46">
                  <c:v>618.49153366761993</c:v>
                </c:pt>
                <c:pt idx="47">
                  <c:v>593.1317002218475</c:v>
                </c:pt>
                <c:pt idx="48">
                  <c:v>567.72885903155316</c:v>
                </c:pt>
                <c:pt idx="49">
                  <c:v>542.46639858076799</c:v>
                </c:pt>
                <c:pt idx="50">
                  <c:v>517.52098655631767</c:v>
                </c:pt>
                <c:pt idx="51">
                  <c:v>493.05732187104036</c:v>
                </c:pt>
                <c:pt idx="52">
                  <c:v>469.22368858913228</c:v>
                </c:pt>
                <c:pt idx="53">
                  <c:v>446.14855889085186</c:v>
                </c:pt>
                <c:pt idx="54">
                  <c:v>423.93838219791564</c:v>
                </c:pt>
                <c:pt idx="55">
                  <c:v>402.67658159408461</c:v>
                </c:pt>
                <c:pt idx="56">
                  <c:v>382.42367732631681</c:v>
                </c:pt>
                <c:pt idx="57">
                  <c:v>363.2183762347745</c:v>
                </c:pt>
                <c:pt idx="58">
                  <c:v>345.07941442364495</c:v>
                </c:pt>
                <c:pt idx="59">
                  <c:v>328.00791944316063</c:v>
                </c:pt>
                <c:pt idx="60">
                  <c:v>311.99006409183187</c:v>
                </c:pt>
                <c:pt idx="61">
                  <c:v>296.99981003107257</c:v>
                </c:pt>
                <c:pt idx="62">
                  <c:v>283.00157793090432</c:v>
                </c:pt>
                <c:pt idx="63">
                  <c:v>269.95272444316106</c:v>
                </c:pt>
                <c:pt idx="64">
                  <c:v>257.80574860048421</c:v>
                </c:pt>
                <c:pt idx="65">
                  <c:v>246.5101873966795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ED-4563-BE4E-D0A5F84C603B}"/>
            </c:ext>
          </c:extLst>
        </c:ser>
        <c:ser>
          <c:idx val="1"/>
          <c:order val="1"/>
          <c:tx>
            <c:strRef>
              <c:f>CoronavirusTeletrabajo!$F$1</c:f>
              <c:strCache>
                <c:ptCount val="1"/>
                <c:pt idx="0">
                  <c:v>Empleados infectados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CoronavirusTeletrabajo!$D$2:$D$67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cat>
          <c:val>
            <c:numRef>
              <c:f>CoronavirusTeletrabajo!$F$2:$F$67</c:f>
              <c:numCache>
                <c:formatCode>#,##0</c:formatCode>
                <c:ptCount val="66"/>
                <c:pt idx="0">
                  <c:v>1</c:v>
                </c:pt>
                <c:pt idx="1">
                  <c:v>1.2265069078293624</c:v>
                </c:pt>
                <c:pt idx="2">
                  <c:v>1.5042486975746665</c:v>
                </c:pt>
                <c:pt idx="3">
                  <c:v>1.8447789446726512</c:v>
                </c:pt>
                <c:pt idx="4">
                  <c:v>2.2622386814012447</c:v>
                </c:pt>
                <c:pt idx="5">
                  <c:v>2.7739268511087887</c:v>
                </c:pt>
                <c:pt idx="6">
                  <c:v>3.4009919839929208</c:v>
                </c:pt>
                <c:pt idx="7">
                  <c:v>4.169268546395446</c:v>
                </c:pt>
                <c:pt idx="8">
                  <c:v>4.8850250910702968</c:v>
                </c:pt>
                <c:pt idx="9">
                  <c:v>5.7107266801084657</c:v>
                </c:pt>
                <c:pt idx="10">
                  <c:v>6.6593810341926369</c:v>
                </c:pt>
                <c:pt idx="11">
                  <c:v>7.7442512222722035</c:v>
                </c:pt>
                <c:pt idx="12">
                  <c:v>8.9783191947729524</c:v>
                </c:pt>
                <c:pt idx="13">
                  <c:v>10.373504250090317</c:v>
                </c:pt>
                <c:pt idx="14">
                  <c:v>11.93955861437734</c:v>
                </c:pt>
                <c:pt idx="15">
                  <c:v>13.682541778373496</c:v>
                </c:pt>
                <c:pt idx="16">
                  <c:v>15.65293203936864</c:v>
                </c:pt>
                <c:pt idx="17">
                  <c:v>17.875870687682955</c:v>
                </c:pt>
                <c:pt idx="18">
                  <c:v>20.378873108198398</c:v>
                </c:pt>
                <c:pt idx="19">
                  <c:v>23.192214185256859</c:v>
                </c:pt>
                <c:pt idx="20">
                  <c:v>26.349493356319023</c:v>
                </c:pt>
                <c:pt idx="21">
                  <c:v>29.88846226502659</c:v>
                </c:pt>
                <c:pt idx="22">
                  <c:v>33.852226847764669</c:v>
                </c:pt>
                <c:pt idx="23">
                  <c:v>38.290971373867805</c:v>
                </c:pt>
                <c:pt idx="24">
                  <c:v>43.25355130365503</c:v>
                </c:pt>
                <c:pt idx="25">
                  <c:v>48.792462213400988</c:v>
                </c:pt>
                <c:pt idx="26">
                  <c:v>54.963751585436668</c:v>
                </c:pt>
                <c:pt idx="27">
                  <c:v>61.826760416814153</c:v>
                </c:pt>
                <c:pt idx="28">
                  <c:v>69.443616393232503</c:v>
                </c:pt>
                <c:pt idx="29">
                  <c:v>77.878373324913696</c:v>
                </c:pt>
                <c:pt idx="30">
                  <c:v>87.195658832862975</c:v>
                </c:pt>
                <c:pt idx="31">
                  <c:v>97.458654651074397</c:v>
                </c:pt>
                <c:pt idx="32">
                  <c:v>108.72836809527315</c:v>
                </c:pt>
                <c:pt idx="33">
                  <c:v>121.06170954423899</c:v>
                </c:pt>
                <c:pt idx="34">
                  <c:v>134.50924215285866</c:v>
                </c:pt>
                <c:pt idx="35">
                  <c:v>149.11264033193632</c:v>
                </c:pt>
                <c:pt idx="36">
                  <c:v>164.90193447138455</c:v>
                </c:pt>
                <c:pt idx="37">
                  <c:v>181.89267008735104</c:v>
                </c:pt>
                <c:pt idx="38">
                  <c:v>200.08316771757183</c:v>
                </c:pt>
                <c:pt idx="39">
                  <c:v>219.45213076754743</c:v>
                </c:pt>
                <c:pt idx="40">
                  <c:v>239.95653378569858</c:v>
                </c:pt>
                <c:pt idx="41">
                  <c:v>261.53015215585867</c:v>
                </c:pt>
                <c:pt idx="42">
                  <c:v>284.08294930456964</c:v>
                </c:pt>
                <c:pt idx="43">
                  <c:v>307.50150501668384</c:v>
                </c:pt>
                <c:pt idx="44">
                  <c:v>331.65060653321547</c:v>
                </c:pt>
                <c:pt idx="45">
                  <c:v>356.37603456103534</c:v>
                </c:pt>
                <c:pt idx="46">
                  <c:v>381.50846633238007</c:v>
                </c:pt>
                <c:pt idx="47">
                  <c:v>406.8682997781525</c:v>
                </c:pt>
                <c:pt idx="48">
                  <c:v>432.27114096844679</c:v>
                </c:pt>
                <c:pt idx="49">
                  <c:v>457.53360141923201</c:v>
                </c:pt>
                <c:pt idx="50">
                  <c:v>482.47901344368239</c:v>
                </c:pt>
                <c:pt idx="51">
                  <c:v>506.94267812895964</c:v>
                </c:pt>
                <c:pt idx="52">
                  <c:v>530.77631141086772</c:v>
                </c:pt>
                <c:pt idx="53">
                  <c:v>553.85144110914814</c:v>
                </c:pt>
                <c:pt idx="54">
                  <c:v>576.06161780208436</c:v>
                </c:pt>
                <c:pt idx="55">
                  <c:v>597.32341840591539</c:v>
                </c:pt>
                <c:pt idx="56">
                  <c:v>617.57632267368319</c:v>
                </c:pt>
                <c:pt idx="57">
                  <c:v>636.7816237652255</c:v>
                </c:pt>
                <c:pt idx="58">
                  <c:v>654.92058557635505</c:v>
                </c:pt>
                <c:pt idx="59">
                  <c:v>671.99208055683937</c:v>
                </c:pt>
                <c:pt idx="60">
                  <c:v>688.00993590816813</c:v>
                </c:pt>
                <c:pt idx="61">
                  <c:v>703.00018996892743</c:v>
                </c:pt>
                <c:pt idx="62">
                  <c:v>716.99842206909568</c:v>
                </c:pt>
                <c:pt idx="63">
                  <c:v>730.04727555683894</c:v>
                </c:pt>
                <c:pt idx="64">
                  <c:v>742.19425139951579</c:v>
                </c:pt>
                <c:pt idx="65">
                  <c:v>753.4898126033205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ED-4563-BE4E-D0A5F84C603B}"/>
            </c:ext>
          </c:extLst>
        </c:ser>
        <c:ser>
          <c:idx val="2"/>
          <c:order val="2"/>
          <c:tx>
            <c:strRef>
              <c:f>CoronavirusTeletrabajo!$G$1</c:f>
              <c:strCache>
                <c:ptCount val="1"/>
                <c:pt idx="0">
                  <c:v>Empleados infectados - ALTA</c:v>
                </c:pt>
              </c:strCache>
            </c:strRef>
          </c:tx>
          <c:spPr>
            <a:ln w="28575" cap="sq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CoronavirusTeletrabajo!$D$2:$D$67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cat>
          <c:val>
            <c:numRef>
              <c:f>CoronavirusTeletrabajo!$G$2:$G$67</c:f>
              <c:numCache>
                <c:formatCode>#,##0</c:formatCode>
                <c:ptCount val="66"/>
                <c:pt idx="0">
                  <c:v>1</c:v>
                </c:pt>
                <c:pt idx="1">
                  <c:v>1.2265069078293624</c:v>
                </c:pt>
                <c:pt idx="2">
                  <c:v>1.5042486975746665</c:v>
                </c:pt>
                <c:pt idx="3">
                  <c:v>1.8447789446726512</c:v>
                </c:pt>
                <c:pt idx="4">
                  <c:v>2.2622386814012447</c:v>
                </c:pt>
                <c:pt idx="5">
                  <c:v>2.7739268511087887</c:v>
                </c:pt>
                <c:pt idx="6">
                  <c:v>3.4009919839929208</c:v>
                </c:pt>
                <c:pt idx="7">
                  <c:v>3.169268546395446</c:v>
                </c:pt>
                <c:pt idx="8">
                  <c:v>3.6585181832409344</c:v>
                </c:pt>
                <c:pt idx="9">
                  <c:v>4.2064779825337997</c:v>
                </c:pt>
                <c:pt idx="10">
                  <c:v>4.8146020895199859</c:v>
                </c:pt>
                <c:pt idx="11">
                  <c:v>5.4820125408709588</c:v>
                </c:pt>
                <c:pt idx="12">
                  <c:v>6.2043923436641641</c:v>
                </c:pt>
                <c:pt idx="13">
                  <c:v>6.9725122660973966</c:v>
                </c:pt>
                <c:pt idx="14">
                  <c:v>7.770290067981894</c:v>
                </c:pt>
                <c:pt idx="15">
                  <c:v>8.7975166873031991</c:v>
                </c:pt>
                <c:pt idx="16">
                  <c:v>9.9422053592601749</c:v>
                </c:pt>
                <c:pt idx="17">
                  <c:v>11.216489653490317</c:v>
                </c:pt>
                <c:pt idx="18">
                  <c:v>12.634621885926194</c:v>
                </c:pt>
                <c:pt idx="19">
                  <c:v>14.213894990483906</c:v>
                </c:pt>
                <c:pt idx="20">
                  <c:v>15.975989106228706</c:v>
                </c:pt>
                <c:pt idx="21">
                  <c:v>17.94890365064925</c:v>
                </c:pt>
                <c:pt idx="22">
                  <c:v>20.169685069391171</c:v>
                </c:pt>
                <c:pt idx="23">
                  <c:v>22.638039334499165</c:v>
                </c:pt>
                <c:pt idx="24">
                  <c:v>25.377680615972075</c:v>
                </c:pt>
                <c:pt idx="25">
                  <c:v>28.41358910520259</c:v>
                </c:pt>
                <c:pt idx="26">
                  <c:v>31.77153740017981</c:v>
                </c:pt>
                <c:pt idx="27">
                  <c:v>35.47726706049513</c:v>
                </c:pt>
                <c:pt idx="28">
                  <c:v>39.555154128205913</c:v>
                </c:pt>
                <c:pt idx="29">
                  <c:v>44.026146477149027</c:v>
                </c:pt>
                <c:pt idx="30">
                  <c:v>48.90468745899517</c:v>
                </c:pt>
                <c:pt idx="31">
                  <c:v>54.205103347419367</c:v>
                </c:pt>
                <c:pt idx="32">
                  <c:v>59.935905881872166</c:v>
                </c:pt>
                <c:pt idx="33">
                  <c:v>66.097957958802326</c:v>
                </c:pt>
                <c:pt idx="34">
                  <c:v>72.682481736044508</c:v>
                </c:pt>
                <c:pt idx="35">
                  <c:v>79.669023938703816</c:v>
                </c:pt>
                <c:pt idx="36">
                  <c:v>87.023561146470854</c:v>
                </c:pt>
                <c:pt idx="37">
                  <c:v>94.697011254488061</c:v>
                </c:pt>
                <c:pt idx="38">
                  <c:v>102.62451306649743</c:v>
                </c:pt>
                <c:pt idx="39">
                  <c:v>110.72376267227428</c:v>
                </c:pt>
                <c:pt idx="40">
                  <c:v>118.89482424145959</c:v>
                </c:pt>
                <c:pt idx="41">
                  <c:v>127.02091000300001</c:v>
                </c:pt>
                <c:pt idx="42">
                  <c:v>134.97030897263332</c:v>
                </c:pt>
                <c:pt idx="43">
                  <c:v>142.59957054529929</c:v>
                </c:pt>
                <c:pt idx="44">
                  <c:v>149.75793644586443</c:v>
                </c:pt>
                <c:pt idx="45">
                  <c:v>156.29286684346351</c:v>
                </c:pt>
                <c:pt idx="46">
                  <c:v>162.05633556483264</c:v>
                </c:pt>
                <c:pt idx="47">
                  <c:v>166.91176599245392</c:v>
                </c:pt>
                <c:pt idx="48">
                  <c:v>170.74098881258811</c:v>
                </c:pt>
                <c:pt idx="49">
                  <c:v>173.45065211466238</c:v>
                </c:pt>
                <c:pt idx="50">
                  <c:v>174.97750842699855</c:v>
                </c:pt>
                <c:pt idx="51">
                  <c:v>175.29207159574418</c:v>
                </c:pt>
                <c:pt idx="52">
                  <c:v>174.40027684983238</c:v>
                </c:pt>
                <c:pt idx="53">
                  <c:v>172.34297477676807</c:v>
                </c:pt>
                <c:pt idx="54">
                  <c:v>169.19331802393185</c:v>
                </c:pt>
                <c:pt idx="55">
                  <c:v>165.0522774374686</c:v>
                </c:pt>
                <c:pt idx="56">
                  <c:v>160.04272125445118</c:v>
                </c:pt>
                <c:pt idx="57">
                  <c:v>154.30261032154311</c:v>
                </c:pt>
                <c:pt idx="58">
                  <c:v>147.97790744739541</c:v>
                </c:pt>
                <c:pt idx="59">
                  <c:v>141.21576914597165</c:v>
                </c:pt>
                <c:pt idx="60">
                  <c:v>134.15849479901999</c:v>
                </c:pt>
                <c:pt idx="61">
                  <c:v>126.93857216684307</c:v>
                </c:pt>
                <c:pt idx="62">
                  <c:v>119.67500366318029</c:v>
                </c:pt>
                <c:pt idx="63">
                  <c:v>112.47095288315575</c:v>
                </c:pt>
                <c:pt idx="64">
                  <c:v>105.41262763429029</c:v>
                </c:pt>
                <c:pt idx="65">
                  <c:v>98.56922702696545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74ED-4563-BE4E-D0A5F84C603B}"/>
            </c:ext>
          </c:extLst>
        </c:ser>
        <c:ser>
          <c:idx val="3"/>
          <c:order val="3"/>
          <c:tx>
            <c:strRef>
              <c:f>CoronavirusTeletrabajo!$H$1</c:f>
              <c:strCache>
                <c:ptCount val="1"/>
                <c:pt idx="0">
                  <c:v>Empleados infectados - BAJA</c:v>
                </c:pt>
              </c:strCache>
            </c:strRef>
          </c:tx>
          <c:spPr>
            <a:ln w="28575" cap="rnd">
              <a:solidFill>
                <a:srgbClr val="FF0000">
                  <a:alpha val="32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CoronavirusTeletrabajo!$D$2:$D$67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cat>
          <c:val>
            <c:numRef>
              <c:f>CoronavirusTeletrabajo!$H$2:$H$67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1.2265069078293624</c:v>
                </c:pt>
                <c:pt idx="9">
                  <c:v>1.5042486975746665</c:v>
                </c:pt>
                <c:pt idx="10">
                  <c:v>1.8447789446726512</c:v>
                </c:pt>
                <c:pt idx="11">
                  <c:v>2.2622386814012447</c:v>
                </c:pt>
                <c:pt idx="12">
                  <c:v>2.7739268511087887</c:v>
                </c:pt>
                <c:pt idx="13">
                  <c:v>3.4009919839929208</c:v>
                </c:pt>
                <c:pt idx="14">
                  <c:v>4.169268546395446</c:v>
                </c:pt>
                <c:pt idx="15">
                  <c:v>4.8850250910702968</c:v>
                </c:pt>
                <c:pt idx="16">
                  <c:v>5.7107266801084657</c:v>
                </c:pt>
                <c:pt idx="17">
                  <c:v>6.6593810341926369</c:v>
                </c:pt>
                <c:pt idx="18">
                  <c:v>7.7442512222722035</c:v>
                </c:pt>
                <c:pt idx="19">
                  <c:v>8.9783191947729524</c:v>
                </c:pt>
                <c:pt idx="20">
                  <c:v>10.373504250090317</c:v>
                </c:pt>
                <c:pt idx="21">
                  <c:v>11.93955861437734</c:v>
                </c:pt>
                <c:pt idx="22">
                  <c:v>13.682541778373496</c:v>
                </c:pt>
                <c:pt idx="23">
                  <c:v>15.65293203936864</c:v>
                </c:pt>
                <c:pt idx="24">
                  <c:v>17.875870687682955</c:v>
                </c:pt>
                <c:pt idx="25">
                  <c:v>20.378873108198398</c:v>
                </c:pt>
                <c:pt idx="26">
                  <c:v>23.192214185256859</c:v>
                </c:pt>
                <c:pt idx="27">
                  <c:v>26.349493356319023</c:v>
                </c:pt>
                <c:pt idx="28">
                  <c:v>29.88846226502659</c:v>
                </c:pt>
                <c:pt idx="29">
                  <c:v>33.852226847764669</c:v>
                </c:pt>
                <c:pt idx="30">
                  <c:v>38.290971373867805</c:v>
                </c:pt>
                <c:pt idx="31">
                  <c:v>43.25355130365503</c:v>
                </c:pt>
                <c:pt idx="32">
                  <c:v>48.792462213400988</c:v>
                </c:pt>
                <c:pt idx="33">
                  <c:v>54.963751585436668</c:v>
                </c:pt>
                <c:pt idx="34">
                  <c:v>61.826760416814153</c:v>
                </c:pt>
                <c:pt idx="35">
                  <c:v>69.443616393232503</c:v>
                </c:pt>
                <c:pt idx="36">
                  <c:v>77.878373324913696</c:v>
                </c:pt>
                <c:pt idx="37">
                  <c:v>87.195658832862975</c:v>
                </c:pt>
                <c:pt idx="38">
                  <c:v>97.458654651074397</c:v>
                </c:pt>
                <c:pt idx="39">
                  <c:v>108.72836809527315</c:v>
                </c:pt>
                <c:pt idx="40">
                  <c:v>121.06170954423899</c:v>
                </c:pt>
                <c:pt idx="41">
                  <c:v>134.50924215285866</c:v>
                </c:pt>
                <c:pt idx="42">
                  <c:v>149.11264033193632</c:v>
                </c:pt>
                <c:pt idx="43">
                  <c:v>164.90193447138455</c:v>
                </c:pt>
                <c:pt idx="44">
                  <c:v>181.89267008735104</c:v>
                </c:pt>
                <c:pt idx="45">
                  <c:v>200.08316771757183</c:v>
                </c:pt>
                <c:pt idx="46">
                  <c:v>219.45213076754743</c:v>
                </c:pt>
                <c:pt idx="47">
                  <c:v>239.95653378569858</c:v>
                </c:pt>
                <c:pt idx="48">
                  <c:v>261.53015215585867</c:v>
                </c:pt>
                <c:pt idx="49">
                  <c:v>284.08294930456964</c:v>
                </c:pt>
                <c:pt idx="50">
                  <c:v>307.50150501668384</c:v>
                </c:pt>
                <c:pt idx="51">
                  <c:v>331.65060653321547</c:v>
                </c:pt>
                <c:pt idx="52">
                  <c:v>356.37603456103534</c:v>
                </c:pt>
                <c:pt idx="53">
                  <c:v>381.50846633238007</c:v>
                </c:pt>
                <c:pt idx="54">
                  <c:v>406.8682997781525</c:v>
                </c:pt>
                <c:pt idx="55">
                  <c:v>432.27114096844679</c:v>
                </c:pt>
                <c:pt idx="56">
                  <c:v>457.53360141923201</c:v>
                </c:pt>
                <c:pt idx="57">
                  <c:v>482.47901344368239</c:v>
                </c:pt>
                <c:pt idx="58">
                  <c:v>506.94267812895964</c:v>
                </c:pt>
                <c:pt idx="59">
                  <c:v>530.77631141086772</c:v>
                </c:pt>
                <c:pt idx="60">
                  <c:v>553.85144110914814</c:v>
                </c:pt>
                <c:pt idx="61">
                  <c:v>576.06161780208436</c:v>
                </c:pt>
                <c:pt idx="62">
                  <c:v>597.32341840591539</c:v>
                </c:pt>
                <c:pt idx="63">
                  <c:v>617.57632267368319</c:v>
                </c:pt>
                <c:pt idx="64">
                  <c:v>636.7816237652255</c:v>
                </c:pt>
                <c:pt idx="65">
                  <c:v>654.92058557635505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74ED-4563-BE4E-D0A5F84C6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803024"/>
        <c:axId val="325803352"/>
      </c:lineChart>
      <c:catAx>
        <c:axId val="325803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/>
                  <a:t>Día laborable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5803352"/>
        <c:crosses val="autoZero"/>
        <c:auto val="1"/>
        <c:lblAlgn val="ctr"/>
        <c:lblOffset val="100"/>
        <c:tickLblSkip val="10"/>
        <c:tickMarkSkip val="50"/>
        <c:noMultiLvlLbl val="0"/>
      </c:catAx>
      <c:valAx>
        <c:axId val="325803352"/>
        <c:scaling>
          <c:orientation val="minMax"/>
          <c:max val="1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5803024"/>
        <c:crosses val="autoZero"/>
        <c:crossBetween val="midCat"/>
        <c:majorUnit val="200"/>
        <c:minorUnit val="2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2321540695683808E-3"/>
          <c:y val="0.87838048344079833"/>
          <c:w val="0.97779861450252392"/>
          <c:h val="0.105543935523244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Infección tras</a:t>
            </a:r>
            <a:r>
              <a:rPr lang="en-US" sz="1600" b="1" baseline="0"/>
              <a:t> 65 días laborables y R</a:t>
            </a:r>
            <a:r>
              <a:rPr lang="en-US" sz="1600" b="1" baseline="-25000"/>
              <a:t>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CoronavirusTeletrabajo!$B$39</c:f>
              <c:strCache>
                <c:ptCount val="1"/>
                <c:pt idx="0">
                  <c:v>Empleados infectados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CoronavirusTeletrabajo!$A$40:$A$340</c:f>
              <c:numCache>
                <c:formatCode>0.0%</c:formatCode>
                <c:ptCount val="301"/>
                <c:pt idx="0">
                  <c:v>0</c:v>
                </c:pt>
                <c:pt idx="1">
                  <c:v>1.0000000474974513E-3</c:v>
                </c:pt>
                <c:pt idx="2">
                  <c:v>2.0000000949949026E-3</c:v>
                </c:pt>
                <c:pt idx="3">
                  <c:v>3.0000000260770321E-3</c:v>
                </c:pt>
                <c:pt idx="4">
                  <c:v>4.0000001899898052E-3</c:v>
                </c:pt>
                <c:pt idx="5">
                  <c:v>5.0000003539025784E-3</c:v>
                </c:pt>
                <c:pt idx="6">
                  <c:v>6.0000005178153515E-3</c:v>
                </c:pt>
                <c:pt idx="7">
                  <c:v>7.0000006817281246E-3</c:v>
                </c:pt>
                <c:pt idx="8">
                  <c:v>8.0000003799796104E-3</c:v>
                </c:pt>
                <c:pt idx="9">
                  <c:v>9.0000005438923836E-3</c:v>
                </c:pt>
                <c:pt idx="10">
                  <c:v>1.0000000707805157E-2</c:v>
                </c:pt>
                <c:pt idx="11">
                  <c:v>1.100000087171793E-2</c:v>
                </c:pt>
                <c:pt idx="12">
                  <c:v>1.2000001035630703E-2</c:v>
                </c:pt>
                <c:pt idx="13">
                  <c:v>1.3000001199543476E-2</c:v>
                </c:pt>
                <c:pt idx="14">
                  <c:v>1.4000001363456249E-2</c:v>
                </c:pt>
                <c:pt idx="15">
                  <c:v>1.5000001527369022E-2</c:v>
                </c:pt>
                <c:pt idx="16">
                  <c:v>1.6000000759959221E-2</c:v>
                </c:pt>
                <c:pt idx="17">
                  <c:v>1.7000000923871994E-2</c:v>
                </c:pt>
                <c:pt idx="18">
                  <c:v>1.8000001087784767E-2</c:v>
                </c:pt>
                <c:pt idx="19">
                  <c:v>1.900000125169754E-2</c:v>
                </c:pt>
                <c:pt idx="20">
                  <c:v>2.0000001415610313E-2</c:v>
                </c:pt>
                <c:pt idx="21">
                  <c:v>2.1000001579523087E-2</c:v>
                </c:pt>
                <c:pt idx="22">
                  <c:v>2.200000174343586E-2</c:v>
                </c:pt>
                <c:pt idx="23">
                  <c:v>2.3000001907348633E-2</c:v>
                </c:pt>
                <c:pt idx="24">
                  <c:v>2.4000002071261406E-2</c:v>
                </c:pt>
                <c:pt idx="25">
                  <c:v>2.5000002235174179E-2</c:v>
                </c:pt>
                <c:pt idx="26">
                  <c:v>2.6000002399086952E-2</c:v>
                </c:pt>
                <c:pt idx="27">
                  <c:v>2.7000002562999725E-2</c:v>
                </c:pt>
                <c:pt idx="28">
                  <c:v>2.8000002726912498E-2</c:v>
                </c:pt>
                <c:pt idx="29">
                  <c:v>2.9000002890825272E-2</c:v>
                </c:pt>
                <c:pt idx="30">
                  <c:v>3.0000003054738045E-2</c:v>
                </c:pt>
                <c:pt idx="31">
                  <c:v>3.1000003218650818E-2</c:v>
                </c:pt>
                <c:pt idx="32">
                  <c:v>3.2000001519918442E-2</c:v>
                </c:pt>
                <c:pt idx="33">
                  <c:v>3.2999999821186066E-2</c:v>
                </c:pt>
                <c:pt idx="34">
                  <c:v>3.399999812245369E-2</c:v>
                </c:pt>
                <c:pt idx="35">
                  <c:v>3.4999996423721313E-2</c:v>
                </c:pt>
                <c:pt idx="36">
                  <c:v>3.5999994724988937E-2</c:v>
                </c:pt>
                <c:pt idx="37">
                  <c:v>3.6999993026256561E-2</c:v>
                </c:pt>
                <c:pt idx="38">
                  <c:v>3.7999991327524185E-2</c:v>
                </c:pt>
                <c:pt idx="39">
                  <c:v>3.8999989628791809E-2</c:v>
                </c:pt>
                <c:pt idx="40">
                  <c:v>3.9999987930059433E-2</c:v>
                </c:pt>
                <c:pt idx="41">
                  <c:v>4.0999986231327057E-2</c:v>
                </c:pt>
                <c:pt idx="42">
                  <c:v>4.1999984532594681E-2</c:v>
                </c:pt>
                <c:pt idx="43">
                  <c:v>4.2999982833862305E-2</c:v>
                </c:pt>
                <c:pt idx="44">
                  <c:v>4.3999981135129929E-2</c:v>
                </c:pt>
                <c:pt idx="45">
                  <c:v>4.4999979436397552E-2</c:v>
                </c:pt>
                <c:pt idx="46">
                  <c:v>4.5999977737665176E-2</c:v>
                </c:pt>
                <c:pt idx="47">
                  <c:v>4.69999760389328E-2</c:v>
                </c:pt>
                <c:pt idx="48">
                  <c:v>4.7999974340200424E-2</c:v>
                </c:pt>
                <c:pt idx="49">
                  <c:v>4.8999972641468048E-2</c:v>
                </c:pt>
                <c:pt idx="50">
                  <c:v>4.9999970942735672E-2</c:v>
                </c:pt>
                <c:pt idx="51">
                  <c:v>5.0999969244003296E-2</c:v>
                </c:pt>
                <c:pt idx="52">
                  <c:v>5.199996754527092E-2</c:v>
                </c:pt>
                <c:pt idx="53">
                  <c:v>5.2999965846538544E-2</c:v>
                </c:pt>
                <c:pt idx="54">
                  <c:v>5.3999964147806168E-2</c:v>
                </c:pt>
                <c:pt idx="55">
                  <c:v>5.4999962449073792E-2</c:v>
                </c:pt>
                <c:pt idx="56">
                  <c:v>5.5999960750341415E-2</c:v>
                </c:pt>
                <c:pt idx="57">
                  <c:v>5.6999959051609039E-2</c:v>
                </c:pt>
                <c:pt idx="58">
                  <c:v>5.7999957352876663E-2</c:v>
                </c:pt>
                <c:pt idx="59">
                  <c:v>5.8999955654144287E-2</c:v>
                </c:pt>
                <c:pt idx="60">
                  <c:v>5.9999953955411911E-2</c:v>
                </c:pt>
                <c:pt idx="61">
                  <c:v>6.0999952256679535E-2</c:v>
                </c:pt>
                <c:pt idx="62">
                  <c:v>6.1999950557947159E-2</c:v>
                </c:pt>
                <c:pt idx="63">
                  <c:v>6.2999948859214783E-2</c:v>
                </c:pt>
                <c:pt idx="64">
                  <c:v>6.3999950885772705E-2</c:v>
                </c:pt>
                <c:pt idx="65">
                  <c:v>6.4999952912330627E-2</c:v>
                </c:pt>
                <c:pt idx="66">
                  <c:v>6.599995493888855E-2</c:v>
                </c:pt>
                <c:pt idx="67">
                  <c:v>6.6999956965446472E-2</c:v>
                </c:pt>
                <c:pt idx="68">
                  <c:v>6.7999958992004395E-2</c:v>
                </c:pt>
                <c:pt idx="69">
                  <c:v>6.8999961018562317E-2</c:v>
                </c:pt>
                <c:pt idx="70">
                  <c:v>6.9999963045120239E-2</c:v>
                </c:pt>
                <c:pt idx="71">
                  <c:v>7.0999965071678162E-2</c:v>
                </c:pt>
                <c:pt idx="72">
                  <c:v>7.1999967098236084E-2</c:v>
                </c:pt>
                <c:pt idx="73">
                  <c:v>7.2999969124794006E-2</c:v>
                </c:pt>
                <c:pt idx="74">
                  <c:v>7.3999971151351929E-2</c:v>
                </c:pt>
                <c:pt idx="75">
                  <c:v>7.4999973177909851E-2</c:v>
                </c:pt>
                <c:pt idx="76">
                  <c:v>7.5999975204467773E-2</c:v>
                </c:pt>
                <c:pt idx="77">
                  <c:v>7.6999977231025696E-2</c:v>
                </c:pt>
                <c:pt idx="78">
                  <c:v>7.7999979257583618E-2</c:v>
                </c:pt>
                <c:pt idx="79">
                  <c:v>7.8999981284141541E-2</c:v>
                </c:pt>
                <c:pt idx="80">
                  <c:v>7.9999983310699463E-2</c:v>
                </c:pt>
                <c:pt idx="81">
                  <c:v>8.0999985337257385E-2</c:v>
                </c:pt>
                <c:pt idx="82">
                  <c:v>8.1999987363815308E-2</c:v>
                </c:pt>
                <c:pt idx="83">
                  <c:v>8.299998939037323E-2</c:v>
                </c:pt>
                <c:pt idx="84">
                  <c:v>8.3999991416931152E-2</c:v>
                </c:pt>
                <c:pt idx="85">
                  <c:v>8.4999993443489075E-2</c:v>
                </c:pt>
                <c:pt idx="86">
                  <c:v>8.5999995470046997E-2</c:v>
                </c:pt>
                <c:pt idx="87">
                  <c:v>8.6999997496604919E-2</c:v>
                </c:pt>
                <c:pt idx="88">
                  <c:v>8.7999999523162842E-2</c:v>
                </c:pt>
                <c:pt idx="89">
                  <c:v>8.9000001549720764E-2</c:v>
                </c:pt>
                <c:pt idx="90">
                  <c:v>9.0000003576278687E-2</c:v>
                </c:pt>
                <c:pt idx="91">
                  <c:v>9.1000005602836609E-2</c:v>
                </c:pt>
                <c:pt idx="92">
                  <c:v>9.2000007629394531E-2</c:v>
                </c:pt>
                <c:pt idx="93">
                  <c:v>9.3000009655952454E-2</c:v>
                </c:pt>
                <c:pt idx="94">
                  <c:v>9.4000011682510376E-2</c:v>
                </c:pt>
                <c:pt idx="95">
                  <c:v>9.5000013709068298E-2</c:v>
                </c:pt>
                <c:pt idx="96">
                  <c:v>9.6000015735626221E-2</c:v>
                </c:pt>
                <c:pt idx="97">
                  <c:v>9.7000017762184143E-2</c:v>
                </c:pt>
                <c:pt idx="98">
                  <c:v>9.8000019788742065E-2</c:v>
                </c:pt>
                <c:pt idx="99">
                  <c:v>9.9000021815299988E-2</c:v>
                </c:pt>
                <c:pt idx="100">
                  <c:v>0.10000002384185791</c:v>
                </c:pt>
                <c:pt idx="101">
                  <c:v>0.10100002586841583</c:v>
                </c:pt>
                <c:pt idx="102">
                  <c:v>0.10200002789497375</c:v>
                </c:pt>
                <c:pt idx="103">
                  <c:v>0.10300002992153168</c:v>
                </c:pt>
                <c:pt idx="104">
                  <c:v>0.1040000319480896</c:v>
                </c:pt>
                <c:pt idx="105">
                  <c:v>0.10500003397464752</c:v>
                </c:pt>
                <c:pt idx="106">
                  <c:v>0.10600003600120544</c:v>
                </c:pt>
                <c:pt idx="107">
                  <c:v>0.10700003802776337</c:v>
                </c:pt>
                <c:pt idx="108">
                  <c:v>0.10800004005432129</c:v>
                </c:pt>
                <c:pt idx="109">
                  <c:v>0.10900004208087921</c:v>
                </c:pt>
                <c:pt idx="110">
                  <c:v>0.11000004410743713</c:v>
                </c:pt>
                <c:pt idx="111">
                  <c:v>0.11100004613399506</c:v>
                </c:pt>
                <c:pt idx="112">
                  <c:v>0.11200004816055298</c:v>
                </c:pt>
                <c:pt idx="113">
                  <c:v>0.1130000501871109</c:v>
                </c:pt>
                <c:pt idx="114">
                  <c:v>0.11400005221366882</c:v>
                </c:pt>
                <c:pt idx="115">
                  <c:v>0.11500005424022675</c:v>
                </c:pt>
                <c:pt idx="116">
                  <c:v>0.11600005626678467</c:v>
                </c:pt>
                <c:pt idx="117">
                  <c:v>0.11700005829334259</c:v>
                </c:pt>
                <c:pt idx="118">
                  <c:v>0.11800006031990051</c:v>
                </c:pt>
                <c:pt idx="119">
                  <c:v>0.11900006234645844</c:v>
                </c:pt>
                <c:pt idx="120">
                  <c:v>0.12000006437301636</c:v>
                </c:pt>
                <c:pt idx="121">
                  <c:v>0.12100006639957428</c:v>
                </c:pt>
                <c:pt idx="122">
                  <c:v>0.1220000684261322</c:v>
                </c:pt>
                <c:pt idx="123">
                  <c:v>0.12300007045269012</c:v>
                </c:pt>
                <c:pt idx="124">
                  <c:v>0.12400007247924805</c:v>
                </c:pt>
                <c:pt idx="125">
                  <c:v>0.12500007450580597</c:v>
                </c:pt>
                <c:pt idx="126">
                  <c:v>0.12600007653236389</c:v>
                </c:pt>
                <c:pt idx="127">
                  <c:v>0.12700007855892181</c:v>
                </c:pt>
                <c:pt idx="128">
                  <c:v>0.12800008058547974</c:v>
                </c:pt>
                <c:pt idx="129">
                  <c:v>0.12900008261203766</c:v>
                </c:pt>
                <c:pt idx="130">
                  <c:v>0.13000008463859558</c:v>
                </c:pt>
                <c:pt idx="131">
                  <c:v>0.1310000866651535</c:v>
                </c:pt>
                <c:pt idx="132">
                  <c:v>0.13200008869171143</c:v>
                </c:pt>
                <c:pt idx="133">
                  <c:v>0.13300009071826935</c:v>
                </c:pt>
                <c:pt idx="134">
                  <c:v>0.13400009274482727</c:v>
                </c:pt>
                <c:pt idx="135">
                  <c:v>0.13500009477138519</c:v>
                </c:pt>
                <c:pt idx="136">
                  <c:v>0.13600009679794312</c:v>
                </c:pt>
                <c:pt idx="137">
                  <c:v>0.13700009882450104</c:v>
                </c:pt>
                <c:pt idx="138">
                  <c:v>0.13800010085105896</c:v>
                </c:pt>
                <c:pt idx="139">
                  <c:v>0.13900010287761688</c:v>
                </c:pt>
                <c:pt idx="140">
                  <c:v>0.1400001049041748</c:v>
                </c:pt>
                <c:pt idx="141">
                  <c:v>0.14100010693073273</c:v>
                </c:pt>
                <c:pt idx="142">
                  <c:v>0.14200010895729065</c:v>
                </c:pt>
                <c:pt idx="143">
                  <c:v>0.14300011098384857</c:v>
                </c:pt>
                <c:pt idx="144">
                  <c:v>0.14400011301040649</c:v>
                </c:pt>
                <c:pt idx="145">
                  <c:v>0.14500011503696442</c:v>
                </c:pt>
                <c:pt idx="146">
                  <c:v>0.14600011706352234</c:v>
                </c:pt>
                <c:pt idx="147">
                  <c:v>0.14700011909008026</c:v>
                </c:pt>
                <c:pt idx="148">
                  <c:v>0.14800012111663818</c:v>
                </c:pt>
                <c:pt idx="149">
                  <c:v>0.14900012314319611</c:v>
                </c:pt>
                <c:pt idx="150">
                  <c:v>0.15000012516975403</c:v>
                </c:pt>
                <c:pt idx="151">
                  <c:v>0.15100012719631195</c:v>
                </c:pt>
                <c:pt idx="152">
                  <c:v>0.15200012922286987</c:v>
                </c:pt>
                <c:pt idx="153">
                  <c:v>0.1530001312494278</c:v>
                </c:pt>
                <c:pt idx="154">
                  <c:v>0.15400013327598572</c:v>
                </c:pt>
                <c:pt idx="155">
                  <c:v>0.15500013530254364</c:v>
                </c:pt>
                <c:pt idx="156">
                  <c:v>0.15600013732910156</c:v>
                </c:pt>
                <c:pt idx="157">
                  <c:v>0.15700013935565948</c:v>
                </c:pt>
                <c:pt idx="158">
                  <c:v>0.15800014138221741</c:v>
                </c:pt>
                <c:pt idx="159">
                  <c:v>0.15900014340877533</c:v>
                </c:pt>
                <c:pt idx="160">
                  <c:v>0.16000014543533325</c:v>
                </c:pt>
                <c:pt idx="161">
                  <c:v>0.16100014746189117</c:v>
                </c:pt>
                <c:pt idx="162">
                  <c:v>0.1620001494884491</c:v>
                </c:pt>
                <c:pt idx="163">
                  <c:v>0.16300015151500702</c:v>
                </c:pt>
                <c:pt idx="164">
                  <c:v>0.16400015354156494</c:v>
                </c:pt>
                <c:pt idx="165">
                  <c:v>0.16500015556812286</c:v>
                </c:pt>
                <c:pt idx="166">
                  <c:v>0.16600015759468079</c:v>
                </c:pt>
                <c:pt idx="167">
                  <c:v>0.16700015962123871</c:v>
                </c:pt>
                <c:pt idx="168">
                  <c:v>0.16800016164779663</c:v>
                </c:pt>
                <c:pt idx="169">
                  <c:v>0.16900016367435455</c:v>
                </c:pt>
                <c:pt idx="170">
                  <c:v>0.17000016570091248</c:v>
                </c:pt>
                <c:pt idx="171">
                  <c:v>0.1710001677274704</c:v>
                </c:pt>
                <c:pt idx="172">
                  <c:v>0.17200016975402832</c:v>
                </c:pt>
                <c:pt idx="173">
                  <c:v>0.17300017178058624</c:v>
                </c:pt>
                <c:pt idx="174">
                  <c:v>0.17400017380714417</c:v>
                </c:pt>
                <c:pt idx="175">
                  <c:v>0.17500017583370209</c:v>
                </c:pt>
                <c:pt idx="176">
                  <c:v>0.17600017786026001</c:v>
                </c:pt>
                <c:pt idx="177">
                  <c:v>0.17700017988681793</c:v>
                </c:pt>
                <c:pt idx="178">
                  <c:v>0.17800018191337585</c:v>
                </c:pt>
                <c:pt idx="179">
                  <c:v>0.17900018393993378</c:v>
                </c:pt>
                <c:pt idx="180">
                  <c:v>0.1800001859664917</c:v>
                </c:pt>
                <c:pt idx="181">
                  <c:v>0.18100018799304962</c:v>
                </c:pt>
                <c:pt idx="182">
                  <c:v>0.18200019001960754</c:v>
                </c:pt>
                <c:pt idx="183">
                  <c:v>0.18300019204616547</c:v>
                </c:pt>
                <c:pt idx="184">
                  <c:v>0.18400019407272339</c:v>
                </c:pt>
                <c:pt idx="185">
                  <c:v>0.18500019609928131</c:v>
                </c:pt>
                <c:pt idx="186">
                  <c:v>0.18600019812583923</c:v>
                </c:pt>
                <c:pt idx="187">
                  <c:v>0.18700020015239716</c:v>
                </c:pt>
                <c:pt idx="188">
                  <c:v>0.18800020217895508</c:v>
                </c:pt>
                <c:pt idx="189">
                  <c:v>0.189000204205513</c:v>
                </c:pt>
                <c:pt idx="190">
                  <c:v>0.19000020623207092</c:v>
                </c:pt>
                <c:pt idx="191">
                  <c:v>0.19100020825862885</c:v>
                </c:pt>
                <c:pt idx="192">
                  <c:v>0.19200021028518677</c:v>
                </c:pt>
                <c:pt idx="193">
                  <c:v>0.19300021231174469</c:v>
                </c:pt>
                <c:pt idx="194">
                  <c:v>0.19400021433830261</c:v>
                </c:pt>
                <c:pt idx="195">
                  <c:v>0.19500021636486053</c:v>
                </c:pt>
                <c:pt idx="196">
                  <c:v>0.19600021839141846</c:v>
                </c:pt>
                <c:pt idx="197">
                  <c:v>0.19700022041797638</c:v>
                </c:pt>
                <c:pt idx="198">
                  <c:v>0.1980002224445343</c:v>
                </c:pt>
                <c:pt idx="199">
                  <c:v>0.19900022447109222</c:v>
                </c:pt>
                <c:pt idx="200">
                  <c:v>0.20000022649765015</c:v>
                </c:pt>
                <c:pt idx="201">
                  <c:v>0.20100022852420807</c:v>
                </c:pt>
                <c:pt idx="202">
                  <c:v>0.20200023055076599</c:v>
                </c:pt>
                <c:pt idx="203">
                  <c:v>0.20300023257732391</c:v>
                </c:pt>
                <c:pt idx="204">
                  <c:v>0.20400023460388184</c:v>
                </c:pt>
                <c:pt idx="205">
                  <c:v>0.20500023663043976</c:v>
                </c:pt>
                <c:pt idx="206">
                  <c:v>0.20600023865699768</c:v>
                </c:pt>
                <c:pt idx="207">
                  <c:v>0.2070002406835556</c:v>
                </c:pt>
                <c:pt idx="208">
                  <c:v>0.20800024271011353</c:v>
                </c:pt>
                <c:pt idx="209">
                  <c:v>0.20900024473667145</c:v>
                </c:pt>
                <c:pt idx="210">
                  <c:v>0.21000024676322937</c:v>
                </c:pt>
                <c:pt idx="211">
                  <c:v>0.21100024878978729</c:v>
                </c:pt>
                <c:pt idx="212">
                  <c:v>0.21200025081634521</c:v>
                </c:pt>
                <c:pt idx="213">
                  <c:v>0.21300025284290314</c:v>
                </c:pt>
                <c:pt idx="214">
                  <c:v>0.21400025486946106</c:v>
                </c:pt>
                <c:pt idx="215">
                  <c:v>0.21500025689601898</c:v>
                </c:pt>
                <c:pt idx="216">
                  <c:v>0.2160002589225769</c:v>
                </c:pt>
                <c:pt idx="217">
                  <c:v>0.21700026094913483</c:v>
                </c:pt>
                <c:pt idx="218">
                  <c:v>0.21800026297569275</c:v>
                </c:pt>
                <c:pt idx="219">
                  <c:v>0.21900026500225067</c:v>
                </c:pt>
                <c:pt idx="220">
                  <c:v>0.22000026702880859</c:v>
                </c:pt>
                <c:pt idx="221">
                  <c:v>0.22100026905536652</c:v>
                </c:pt>
                <c:pt idx="222">
                  <c:v>0.22200027108192444</c:v>
                </c:pt>
                <c:pt idx="223">
                  <c:v>0.22300027310848236</c:v>
                </c:pt>
                <c:pt idx="224">
                  <c:v>0.22400027513504028</c:v>
                </c:pt>
                <c:pt idx="225">
                  <c:v>0.22500027716159821</c:v>
                </c:pt>
                <c:pt idx="226">
                  <c:v>0.22600027918815613</c:v>
                </c:pt>
                <c:pt idx="227">
                  <c:v>0.22700028121471405</c:v>
                </c:pt>
                <c:pt idx="228">
                  <c:v>0.22800028324127197</c:v>
                </c:pt>
                <c:pt idx="229">
                  <c:v>0.2290002852678299</c:v>
                </c:pt>
                <c:pt idx="230">
                  <c:v>0.23000028729438782</c:v>
                </c:pt>
                <c:pt idx="231">
                  <c:v>0.23100028932094574</c:v>
                </c:pt>
                <c:pt idx="232">
                  <c:v>0.23200029134750366</c:v>
                </c:pt>
                <c:pt idx="233">
                  <c:v>0.23300029337406158</c:v>
                </c:pt>
                <c:pt idx="234">
                  <c:v>0.23400029540061951</c:v>
                </c:pt>
                <c:pt idx="235">
                  <c:v>0.23500029742717743</c:v>
                </c:pt>
                <c:pt idx="236">
                  <c:v>0.23600029945373535</c:v>
                </c:pt>
                <c:pt idx="237">
                  <c:v>0.23700030148029327</c:v>
                </c:pt>
                <c:pt idx="238">
                  <c:v>0.2380003035068512</c:v>
                </c:pt>
                <c:pt idx="239">
                  <c:v>0.23900030553340912</c:v>
                </c:pt>
                <c:pt idx="240">
                  <c:v>0.24000030755996704</c:v>
                </c:pt>
                <c:pt idx="241">
                  <c:v>0.24100030958652496</c:v>
                </c:pt>
                <c:pt idx="242">
                  <c:v>0.24200031161308289</c:v>
                </c:pt>
                <c:pt idx="243">
                  <c:v>0.24300031363964081</c:v>
                </c:pt>
                <c:pt idx="244">
                  <c:v>0.24400031566619873</c:v>
                </c:pt>
                <c:pt idx="245">
                  <c:v>0.24500031769275665</c:v>
                </c:pt>
                <c:pt idx="246">
                  <c:v>0.24600031971931458</c:v>
                </c:pt>
                <c:pt idx="247">
                  <c:v>0.2470003217458725</c:v>
                </c:pt>
                <c:pt idx="248">
                  <c:v>0.24800032377243042</c:v>
                </c:pt>
                <c:pt idx="249">
                  <c:v>0.24900032579898834</c:v>
                </c:pt>
                <c:pt idx="250">
                  <c:v>0.25000032782554626</c:v>
                </c:pt>
                <c:pt idx="251">
                  <c:v>0.25100031495094299</c:v>
                </c:pt>
                <c:pt idx="252">
                  <c:v>0.25200030207633972</c:v>
                </c:pt>
                <c:pt idx="253">
                  <c:v>0.25300028920173645</c:v>
                </c:pt>
                <c:pt idx="254">
                  <c:v>0.25400027632713318</c:v>
                </c:pt>
                <c:pt idx="255">
                  <c:v>0.25500026345252991</c:v>
                </c:pt>
                <c:pt idx="256">
                  <c:v>0.25600025057792664</c:v>
                </c:pt>
                <c:pt idx="257">
                  <c:v>0.25700023770332336</c:v>
                </c:pt>
                <c:pt idx="258">
                  <c:v>0.25800022482872009</c:v>
                </c:pt>
                <c:pt idx="259">
                  <c:v>0.25900021195411682</c:v>
                </c:pt>
                <c:pt idx="260">
                  <c:v>0.26000019907951355</c:v>
                </c:pt>
                <c:pt idx="261">
                  <c:v>0.26100018620491028</c:v>
                </c:pt>
                <c:pt idx="262">
                  <c:v>0.26200017333030701</c:v>
                </c:pt>
                <c:pt idx="263">
                  <c:v>0.26300016045570374</c:v>
                </c:pt>
                <c:pt idx="264">
                  <c:v>0.26400014758110046</c:v>
                </c:pt>
                <c:pt idx="265">
                  <c:v>0.26500013470649719</c:v>
                </c:pt>
                <c:pt idx="266">
                  <c:v>0.26600012183189392</c:v>
                </c:pt>
                <c:pt idx="267">
                  <c:v>0.26700010895729065</c:v>
                </c:pt>
                <c:pt idx="268">
                  <c:v>0.26800009608268738</c:v>
                </c:pt>
                <c:pt idx="269">
                  <c:v>0.26900008320808411</c:v>
                </c:pt>
                <c:pt idx="270">
                  <c:v>0.27000007033348083</c:v>
                </c:pt>
                <c:pt idx="271">
                  <c:v>0.27100005745887756</c:v>
                </c:pt>
                <c:pt idx="272">
                  <c:v>0.27200004458427429</c:v>
                </c:pt>
                <c:pt idx="273">
                  <c:v>0.27300003170967102</c:v>
                </c:pt>
                <c:pt idx="274">
                  <c:v>0.27400001883506775</c:v>
                </c:pt>
                <c:pt idx="275">
                  <c:v>0.27500000596046448</c:v>
                </c:pt>
                <c:pt idx="276">
                  <c:v>0.27599999308586121</c:v>
                </c:pt>
                <c:pt idx="277">
                  <c:v>0.27699998021125793</c:v>
                </c:pt>
                <c:pt idx="278">
                  <c:v>0.27799996733665466</c:v>
                </c:pt>
                <c:pt idx="279">
                  <c:v>0.27899995446205139</c:v>
                </c:pt>
                <c:pt idx="280">
                  <c:v>0.27999994158744812</c:v>
                </c:pt>
                <c:pt idx="281">
                  <c:v>0.28099992871284485</c:v>
                </c:pt>
                <c:pt idx="282">
                  <c:v>0.28199991583824158</c:v>
                </c:pt>
                <c:pt idx="283">
                  <c:v>0.28299990296363831</c:v>
                </c:pt>
                <c:pt idx="284">
                  <c:v>0.28399989008903503</c:v>
                </c:pt>
                <c:pt idx="285">
                  <c:v>0.28499987721443176</c:v>
                </c:pt>
                <c:pt idx="286">
                  <c:v>0.28599986433982849</c:v>
                </c:pt>
                <c:pt idx="287">
                  <c:v>0.28699985146522522</c:v>
                </c:pt>
                <c:pt idx="288">
                  <c:v>0.28799983859062195</c:v>
                </c:pt>
                <c:pt idx="289">
                  <c:v>0.28899982571601868</c:v>
                </c:pt>
                <c:pt idx="290">
                  <c:v>0.28999981284141541</c:v>
                </c:pt>
                <c:pt idx="291">
                  <c:v>0.29099979996681213</c:v>
                </c:pt>
                <c:pt idx="292">
                  <c:v>0.29199978709220886</c:v>
                </c:pt>
                <c:pt idx="293">
                  <c:v>0.29299977421760559</c:v>
                </c:pt>
                <c:pt idx="294">
                  <c:v>0.29399976134300232</c:v>
                </c:pt>
                <c:pt idx="295">
                  <c:v>0.29499974846839905</c:v>
                </c:pt>
                <c:pt idx="296">
                  <c:v>0.29599973559379578</c:v>
                </c:pt>
                <c:pt idx="297">
                  <c:v>0.2969997227191925</c:v>
                </c:pt>
                <c:pt idx="298">
                  <c:v>0.29799970984458923</c:v>
                </c:pt>
                <c:pt idx="299">
                  <c:v>0.29899969696998596</c:v>
                </c:pt>
                <c:pt idx="300">
                  <c:v>0.29999968409538269</c:v>
                </c:pt>
              </c:numCache>
            </c:numRef>
          </c:cat>
          <c:val>
            <c:numRef>
              <c:f>CoronavirusTeletrabajo!$B$40:$B$340</c:f>
              <c:numCache>
                <c:formatCode>#,##0</c:formatCode>
                <c:ptCount val="301"/>
                <c:pt idx="0">
                  <c:v>893.86413815433855</c:v>
                </c:pt>
                <c:pt idx="1">
                  <c:v>892.0607768760774</c:v>
                </c:pt>
                <c:pt idx="2">
                  <c:v>890.22669151417813</c:v>
                </c:pt>
                <c:pt idx="3">
                  <c:v>888.36133418290467</c:v>
                </c:pt>
                <c:pt idx="4">
                  <c:v>886.46414700621631</c:v>
                </c:pt>
                <c:pt idx="5">
                  <c:v>884.53456406105727</c:v>
                </c:pt>
                <c:pt idx="6">
                  <c:v>882.57200985092129</c:v>
                </c:pt>
                <c:pt idx="7">
                  <c:v>880.57589974121186</c:v>
                </c:pt>
                <c:pt idx="8">
                  <c:v>878.54564093127669</c:v>
                </c:pt>
                <c:pt idx="9">
                  <c:v>876.48062869053058</c:v>
                </c:pt>
                <c:pt idx="10">
                  <c:v>874.38025208029887</c:v>
                </c:pt>
                <c:pt idx="11">
                  <c:v>872.2438902555408</c:v>
                </c:pt>
                <c:pt idx="12">
                  <c:v>870.07091348793608</c:v>
                </c:pt>
                <c:pt idx="13">
                  <c:v>867.86068327146427</c:v>
                </c:pt>
                <c:pt idx="14">
                  <c:v>865.61255244921108</c:v>
                </c:pt>
                <c:pt idx="15">
                  <c:v>863.32586536278416</c:v>
                </c:pt>
                <c:pt idx="16">
                  <c:v>860.99996021049412</c:v>
                </c:pt>
                <c:pt idx="17">
                  <c:v>858.6341605453789</c:v>
                </c:pt>
                <c:pt idx="18">
                  <c:v>856.22778849759447</c:v>
                </c:pt>
                <c:pt idx="19">
                  <c:v>853.78015640219576</c:v>
                </c:pt>
                <c:pt idx="20">
                  <c:v>851.29056923255052</c:v>
                </c:pt>
                <c:pt idx="21">
                  <c:v>848.75832491824667</c:v>
                </c:pt>
                <c:pt idx="22">
                  <c:v>846.18271469703222</c:v>
                </c:pt>
                <c:pt idx="23">
                  <c:v>843.56302350261103</c:v>
                </c:pt>
                <c:pt idx="24">
                  <c:v>840.89853039013337</c:v>
                </c:pt>
                <c:pt idx="25">
                  <c:v>838.1885090013493</c:v>
                </c:pt>
                <c:pt idx="26">
                  <c:v>835.43222807136931</c:v>
                </c:pt>
                <c:pt idx="27">
                  <c:v>832.6289519789691</c:v>
                </c:pt>
                <c:pt idx="28">
                  <c:v>829.77794134241469</c:v>
                </c:pt>
                <c:pt idx="29">
                  <c:v>826.87845366287399</c:v>
                </c:pt>
                <c:pt idx="30">
                  <c:v>823.9297440174106</c:v>
                </c:pt>
                <c:pt idx="31">
                  <c:v>820.931065803568</c:v>
                </c:pt>
                <c:pt idx="32">
                  <c:v>817.88167726509664</c:v>
                </c:pt>
                <c:pt idx="33">
                  <c:v>814.7808253559208</c:v>
                </c:pt>
                <c:pt idx="34">
                  <c:v>811.62776345214888</c:v>
                </c:pt>
                <c:pt idx="35">
                  <c:v>808.42174678392939</c:v>
                </c:pt>
                <c:pt idx="36">
                  <c:v>805.16203346725865</c:v>
                </c:pt>
                <c:pt idx="37">
                  <c:v>801.84788559861067</c:v>
                </c:pt>
                <c:pt idx="38">
                  <c:v>798.47857041428108</c:v>
                </c:pt>
                <c:pt idx="39">
                  <c:v>795.05336151576398</c:v>
                </c:pt>
                <c:pt idx="40">
                  <c:v>791.5715401626245</c:v>
                </c:pt>
                <c:pt idx="41">
                  <c:v>788.03239663424029</c:v>
                </c:pt>
                <c:pt idx="42">
                  <c:v>784.43523166122316</c:v>
                </c:pt>
                <c:pt idx="43">
                  <c:v>780.77935792755977</c:v>
                </c:pt>
                <c:pt idx="44">
                  <c:v>777.06410164407271</c:v>
                </c:pt>
                <c:pt idx="45">
                  <c:v>773.28880419362315</c:v>
                </c:pt>
                <c:pt idx="46">
                  <c:v>769.45282384807842</c:v>
                </c:pt>
                <c:pt idx="47">
                  <c:v>765.55553755695576</c:v>
                </c:pt>
                <c:pt idx="48">
                  <c:v>761.5963428071791</c:v>
                </c:pt>
                <c:pt idx="49">
                  <c:v>757.57465955313762</c:v>
                </c:pt>
                <c:pt idx="50">
                  <c:v>753.48993221568151</c:v>
                </c:pt>
                <c:pt idx="51">
                  <c:v>749.34163174857497</c:v>
                </c:pt>
                <c:pt idx="52">
                  <c:v>745.12925777011299</c:v>
                </c:pt>
                <c:pt idx="53">
                  <c:v>740.85234075749031</c:v>
                </c:pt>
                <c:pt idx="54">
                  <c:v>736.51044430068316</c:v>
                </c:pt>
                <c:pt idx="55">
                  <c:v>732.10316741257168</c:v>
                </c:pt>
                <c:pt idx="56">
                  <c:v>727.63014689080899</c:v>
                </c:pt>
                <c:pt idx="57">
                  <c:v>723.09105972703765</c:v>
                </c:pt>
                <c:pt idx="58">
                  <c:v>718.48562555796593</c:v>
                </c:pt>
                <c:pt idx="59">
                  <c:v>713.81360915270704</c:v>
                </c:pt>
                <c:pt idx="60">
                  <c:v>709.0748229295292</c:v>
                </c:pt>
                <c:pt idx="61">
                  <c:v>704.26912949528764</c:v>
                </c:pt>
                <c:pt idx="62">
                  <c:v>699.39644419940123</c:v>
                </c:pt>
                <c:pt idx="63">
                  <c:v>694.45673769430084</c:v>
                </c:pt>
                <c:pt idx="64">
                  <c:v>689.45001971700606</c:v>
                </c:pt>
                <c:pt idx="65">
                  <c:v>684.37639746487434</c:v>
                </c:pt>
                <c:pt idx="66">
                  <c:v>679.23602278806936</c:v>
                </c:pt>
                <c:pt idx="67">
                  <c:v>674.02911295586443</c:v>
                </c:pt>
                <c:pt idx="68">
                  <c:v>668.75595310112203</c:v>
                </c:pt>
                <c:pt idx="69">
                  <c:v>663.41689860780377</c:v>
                </c:pt>
                <c:pt idx="70">
                  <c:v>658.01237742916885</c:v>
                </c:pt>
                <c:pt idx="71">
                  <c:v>652.54289232383155</c:v>
                </c:pt>
                <c:pt idx="72">
                  <c:v>647.00902299604695</c:v>
                </c:pt>
                <c:pt idx="73">
                  <c:v>641.41142812696751</c:v>
                </c:pt>
                <c:pt idx="74">
                  <c:v>635.75084728281502</c:v>
                </c:pt>
                <c:pt idx="75">
                  <c:v>630.02810268574547</c:v>
                </c:pt>
                <c:pt idx="76">
                  <c:v>624.24410083349619</c:v>
                </c:pt>
                <c:pt idx="77">
                  <c:v>618.39983395357194</c:v>
                </c:pt>
                <c:pt idx="78">
                  <c:v>612.49638127753019</c:v>
                </c:pt>
                <c:pt idx="79">
                  <c:v>606.5349101221633</c:v>
                </c:pt>
                <c:pt idx="80">
                  <c:v>600.51667676327543</c:v>
                </c:pt>
                <c:pt idx="81">
                  <c:v>594.44302708940359</c:v>
                </c:pt>
                <c:pt idx="82">
                  <c:v>588.31539702259897</c:v>
                </c:pt>
                <c:pt idx="83">
                  <c:v>582.1353126944133</c:v>
                </c:pt>
                <c:pt idx="84">
                  <c:v>575.90439036590703</c:v>
                </c:pt>
                <c:pt idx="85">
                  <c:v>569.62433608132392</c:v>
                </c:pt>
                <c:pt idx="86">
                  <c:v>563.2969450463429</c:v>
                </c:pt>
                <c:pt idx="87">
                  <c:v>556.92410072264067</c:v>
                </c:pt>
                <c:pt idx="88">
                  <c:v>550.50777363195823</c:v>
                </c:pt>
                <c:pt idx="89">
                  <c:v>544.05001986431375</c:v>
                </c:pt>
                <c:pt idx="90">
                  <c:v>537.55297928610003</c:v>
                </c:pt>
                <c:pt idx="91">
                  <c:v>531.01887344587703</c:v>
                </c:pt>
                <c:pt idx="92">
                  <c:v>524.45000317684628</c:v>
                </c:pt>
                <c:pt idx="93">
                  <c:v>517.84874589688263</c:v>
                </c:pt>
                <c:pt idx="94">
                  <c:v>511.21755260931502</c:v>
                </c:pt>
                <c:pt idx="95">
                  <c:v>504.55894460765154</c:v>
                </c:pt>
                <c:pt idx="96">
                  <c:v>497.87550989236701</c:v>
                </c:pt>
                <c:pt idx="97">
                  <c:v>491.16989930637612</c:v>
                </c:pt>
                <c:pt idx="98">
                  <c:v>484.44482240011314</c:v>
                </c:pt>
                <c:pt idx="99">
                  <c:v>477.70304303774122</c:v>
                </c:pt>
                <c:pt idx="100">
                  <c:v>470.94737475815054</c:v>
                </c:pt>
                <c:pt idx="101">
                  <c:v>464.18067590628254</c:v>
                </c:pt>
                <c:pt idx="102">
                  <c:v>457.40584455191754</c:v>
                </c:pt>
                <c:pt idx="103">
                  <c:v>450.62581321406304</c:v>
                </c:pt>
                <c:pt idx="104">
                  <c:v>443.84354341145968</c:v>
                </c:pt>
                <c:pt idx="105">
                  <c:v>437.06202006070868</c:v>
                </c:pt>
                <c:pt idx="106">
                  <c:v>430.2842457439383</c:v>
                </c:pt>
                <c:pt idx="107">
                  <c:v>423.51323487053259</c:v>
                </c:pt>
                <c:pt idx="108">
                  <c:v>416.75200775672477</c:v>
                </c:pt>
                <c:pt idx="109">
                  <c:v>410.00358464849916</c:v>
                </c:pt>
                <c:pt idx="110">
                  <c:v>403.27097971381454</c:v>
                </c:pt>
                <c:pt idx="111">
                  <c:v>396.55719502955333</c:v>
                </c:pt>
                <c:pt idx="112">
                  <c:v>389.86521458990347</c:v>
                </c:pt>
                <c:pt idx="113">
                  <c:v>383.19799836205351</c:v>
                </c:pt>
                <c:pt idx="114">
                  <c:v>376.5584764151609</c:v>
                </c:pt>
                <c:pt idx="115">
                  <c:v>369.9495431475903</c:v>
                </c:pt>
                <c:pt idx="116">
                  <c:v>363.37405163782455</c:v>
                </c:pt>
                <c:pt idx="117">
                  <c:v>356.83480814224362</c:v>
                </c:pt>
                <c:pt idx="118">
                  <c:v>350.33456676323584</c:v>
                </c:pt>
                <c:pt idx="119">
                  <c:v>343.87602430909732</c:v>
                </c:pt>
                <c:pt idx="120">
                  <c:v>337.46181536610578</c:v>
                </c:pt>
                <c:pt idx="121">
                  <c:v>331.09450760226377</c:v>
                </c:pt>
                <c:pt idx="122">
                  <c:v>324.77659731933102</c:v>
                </c:pt>
                <c:pt idx="123">
                  <c:v>318.51050526972097</c:v>
                </c:pt>
                <c:pt idx="124">
                  <c:v>312.29857275159168</c:v>
                </c:pt>
                <c:pt idx="125">
                  <c:v>306.14305799505445</c:v>
                </c:pt>
                <c:pt idx="126">
                  <c:v>300.04613284897579</c:v>
                </c:pt>
                <c:pt idx="127">
                  <c:v>294.00987977758217</c:v>
                </c:pt>
                <c:pt idx="128">
                  <c:v>288.03628917266661</c:v>
                </c:pt>
                <c:pt idx="129">
                  <c:v>282.1272569866797</c:v>
                </c:pt>
                <c:pt idx="130">
                  <c:v>276.2845826886109</c:v>
                </c:pt>
                <c:pt idx="131">
                  <c:v>270.50996754417037</c:v>
                </c:pt>
                <c:pt idx="132">
                  <c:v>264.80501321897378</c:v>
                </c:pt>
                <c:pt idx="133">
                  <c:v>259.17122070175861</c:v>
                </c:pt>
                <c:pt idx="134">
                  <c:v>253.60998954404366</c:v>
                </c:pt>
                <c:pt idx="135">
                  <c:v>248.12261740914721</c:v>
                </c:pt>
                <c:pt idx="136">
                  <c:v>242.71029992422029</c:v>
                </c:pt>
                <c:pt idx="137">
                  <c:v>237.37413082570006</c:v>
                </c:pt>
                <c:pt idx="138">
                  <c:v>232.11510238848032</c:v>
                </c:pt>
                <c:pt idx="139">
                  <c:v>226.93410612797305</c:v>
                </c:pt>
                <c:pt idx="140">
                  <c:v>221.83193376185659</c:v>
                </c:pt>
                <c:pt idx="141">
                  <c:v>216.80927841974176</c:v>
                </c:pt>
                <c:pt idx="142">
                  <c:v>211.86673608589942</c:v>
                </c:pt>
                <c:pt idx="143">
                  <c:v>207.00480726128399</c:v>
                </c:pt>
                <c:pt idx="144">
                  <c:v>202.22389882975716</c:v>
                </c:pt>
                <c:pt idx="145">
                  <c:v>197.52432611270439</c:v>
                </c:pt>
                <c:pt idx="146">
                  <c:v>192.90631509796967</c:v>
                </c:pt>
                <c:pt idx="147">
                  <c:v>188.37000482528359</c:v>
                </c:pt>
                <c:pt idx="148">
                  <c:v>183.91544991455572</c:v>
                </c:pt>
                <c:pt idx="149">
                  <c:v>179.54262321995878</c:v>
                </c:pt>
                <c:pt idx="150">
                  <c:v>175.25141859517237</c:v>
                </c:pt>
                <c:pt idx="151">
                  <c:v>171.04165375402198</c:v>
                </c:pt>
                <c:pt idx="152">
                  <c:v>166.91307321206159</c:v>
                </c:pt>
                <c:pt idx="153">
                  <c:v>162.8653512943508</c:v>
                </c:pt>
                <c:pt idx="154">
                  <c:v>158.89809519552728</c:v>
                </c:pt>
                <c:pt idx="155">
                  <c:v>155.01084807879303</c:v>
                </c:pt>
                <c:pt idx="156">
                  <c:v>151.20309220075461</c:v>
                </c:pt>
                <c:pt idx="157">
                  <c:v>147.47425204986817</c:v>
                </c:pt>
                <c:pt idx="158">
                  <c:v>143.82369748717363</c:v>
                </c:pt>
                <c:pt idx="159">
                  <c:v>140.25074687786261</c:v>
                </c:pt>
                <c:pt idx="160">
                  <c:v>136.75467020373412</c:v>
                </c:pt>
                <c:pt idx="161">
                  <c:v>133.33469214714955</c:v>
                </c:pt>
                <c:pt idx="162">
                  <c:v>129.98999513729927</c:v>
                </c:pt>
                <c:pt idx="163">
                  <c:v>126.71972235093854</c:v>
                </c:pt>
                <c:pt idx="164">
                  <c:v>123.52298066003057</c:v>
                </c:pt>
                <c:pt idx="165">
                  <c:v>120.39884351976001</c:v>
                </c:pt>
                <c:pt idx="166">
                  <c:v>117.34635379084993</c:v>
                </c:pt>
                <c:pt idx="167">
                  <c:v>114.36452649075429</c:v>
                </c:pt>
                <c:pt idx="168">
                  <c:v>111.45235146927953</c:v>
                </c:pt>
                <c:pt idx="169">
                  <c:v>108.60879600432676</c:v>
                </c:pt>
                <c:pt idx="170">
                  <c:v>105.83280731452011</c:v>
                </c:pt>
                <c:pt idx="171">
                  <c:v>103.12331498581599</c:v>
                </c:pt>
                <c:pt idx="172">
                  <c:v>100.47923330961841</c:v>
                </c:pt>
                <c:pt idx="173">
                  <c:v>97.899463530915881</c:v>
                </c:pt>
                <c:pt idx="174">
                  <c:v>95.382896004808032</c:v>
                </c:pt>
                <c:pt idx="175">
                  <c:v>92.928412260841199</c:v>
                </c:pt>
                <c:pt idx="176">
                  <c:v>90.534886974556386</c:v>
                </c:pt>
                <c:pt idx="177">
                  <c:v>88.201189846312218</c:v>
                </c:pt>
                <c:pt idx="178">
                  <c:v>85.926187387706165</c:v>
                </c:pt>
                <c:pt idx="179">
                  <c:v>83.708744616164495</c:v>
                </c:pt>
                <c:pt idx="180">
                  <c:v>81.547726658950054</c:v>
                </c:pt>
                <c:pt idx="181">
                  <c:v>79.442000267436129</c:v>
                </c:pt>
                <c:pt idx="182">
                  <c:v>77.390435243533162</c:v>
                </c:pt>
                <c:pt idx="183">
                  <c:v>75.391905779564055</c:v>
                </c:pt>
                <c:pt idx="184">
                  <c:v>73.445291714004469</c:v>
                </c:pt>
                <c:pt idx="185">
                  <c:v>71.549479704619515</c:v>
                </c:pt>
                <c:pt idx="186">
                  <c:v>69.703364321654462</c:v>
                </c:pt>
                <c:pt idx="187">
                  <c:v>67.905849063017811</c:v>
                </c:pt>
                <c:pt idx="188">
                  <c:v>66.155847294282935</c:v>
                </c:pt>
                <c:pt idx="189">
                  <c:v>64.452283115805074</c:v>
                </c:pt>
                <c:pt idx="190">
                  <c:v>62.794092159441981</c:v>
                </c:pt>
                <c:pt idx="191">
                  <c:v>61.180222317831046</c:v>
                </c:pt>
                <c:pt idx="192">
                  <c:v>59.609634408481469</c:v>
                </c:pt>
                <c:pt idx="193">
                  <c:v>58.081302775790945</c:v>
                </c:pt>
                <c:pt idx="194">
                  <c:v>56.59421583325274</c:v>
                </c:pt>
                <c:pt idx="195">
                  <c:v>55.147376548820588</c:v>
                </c:pt>
                <c:pt idx="196">
                  <c:v>53.73980287598966</c:v>
                </c:pt>
                <c:pt idx="197">
                  <c:v>52.370528133164534</c:v>
                </c:pt>
                <c:pt idx="198">
                  <c:v>51.038601334010558</c:v>
                </c:pt>
                <c:pt idx="199">
                  <c:v>49.743087471264438</c:v>
                </c:pt>
                <c:pt idx="200">
                  <c:v>48.483067756578855</c:v>
                </c:pt>
                <c:pt idx="201">
                  <c:v>47.257639818698806</c:v>
                </c:pt>
                <c:pt idx="202">
                  <c:v>46.065917862593494</c:v>
                </c:pt>
                <c:pt idx="203">
                  <c:v>44.907032791596883</c:v>
                </c:pt>
                <c:pt idx="204">
                  <c:v>43.780132294961419</c:v>
                </c:pt>
                <c:pt idx="205">
                  <c:v>42.684380902994519</c:v>
                </c:pt>
                <c:pt idx="206">
                  <c:v>41.61896001191603</c:v>
                </c:pt>
                <c:pt idx="207">
                  <c:v>40.583067880245821</c:v>
                </c:pt>
                <c:pt idx="208">
                  <c:v>39.575919599063823</c:v>
                </c:pt>
                <c:pt idx="209">
                  <c:v>38.596747037655369</c:v>
                </c:pt>
                <c:pt idx="210">
                  <c:v>37.644798766529256</c:v>
                </c:pt>
                <c:pt idx="211">
                  <c:v>36.719339959559235</c:v>
                </c:pt>
                <c:pt idx="212">
                  <c:v>35.819652276803211</c:v>
                </c:pt>
                <c:pt idx="213">
                  <c:v>34.945033729576181</c:v>
                </c:pt>
                <c:pt idx="214">
                  <c:v>34.094798529408159</c:v>
                </c:pt>
                <c:pt idx="215">
                  <c:v>33.268276922163999</c:v>
                </c:pt>
                <c:pt idx="216">
                  <c:v>32.464815008735982</c:v>
                </c:pt>
                <c:pt idx="217">
                  <c:v>31.683774553701671</c:v>
                </c:pt>
                <c:pt idx="218">
                  <c:v>30.924532782917957</c:v>
                </c:pt>
                <c:pt idx="219">
                  <c:v>30.186482171476261</c:v>
                </c:pt>
                <c:pt idx="220">
                  <c:v>29.469030222953013</c:v>
                </c:pt>
                <c:pt idx="221">
                  <c:v>28.771599240979171</c:v>
                </c:pt>
                <c:pt idx="222">
                  <c:v>28.093626094148924</c:v>
                </c:pt>
                <c:pt idx="223">
                  <c:v>27.434561975189126</c:v>
                </c:pt>
                <c:pt idx="224">
                  <c:v>26.793872155146477</c:v>
                </c:pt>
                <c:pt idx="225">
                  <c:v>26.171035733489649</c:v>
                </c:pt>
                <c:pt idx="226">
                  <c:v>25.565545384800451</c:v>
                </c:pt>
                <c:pt idx="227">
                  <c:v>24.976907102777474</c:v>
                </c:pt>
                <c:pt idx="228">
                  <c:v>24.404639942271618</c:v>
                </c:pt>
                <c:pt idx="229">
                  <c:v>23.848275759777543</c:v>
                </c:pt>
                <c:pt idx="230">
                  <c:v>23.307358953123153</c:v>
                </c:pt>
                <c:pt idx="231">
                  <c:v>22.781446200794523</c:v>
                </c:pt>
                <c:pt idx="232">
                  <c:v>22.270106201355013</c:v>
                </c:pt>
                <c:pt idx="233">
                  <c:v>21.772919413474025</c:v>
                </c:pt>
                <c:pt idx="234">
                  <c:v>21.289477796883464</c:v>
                </c:pt>
                <c:pt idx="235">
                  <c:v>20.81938455469901</c:v>
                </c:pt>
                <c:pt idx="236">
                  <c:v>20.36225387746158</c:v>
                </c:pt>
                <c:pt idx="237">
                  <c:v>19.917710689140279</c:v>
                </c:pt>
                <c:pt idx="238">
                  <c:v>19.485390395401765</c:v>
                </c:pt>
                <c:pt idx="239">
                  <c:v>19.064938634490314</c:v>
                </c:pt>
                <c:pt idx="240">
                  <c:v>18.656011030842823</c:v>
                </c:pt>
                <c:pt idx="241">
                  <c:v>18.258272951663152</c:v>
                </c:pt>
                <c:pt idx="242">
                  <c:v>17.87139926671227</c:v>
                </c:pt>
                <c:pt idx="243">
                  <c:v>17.495074111418653</c:v>
                </c:pt>
                <c:pt idx="244">
                  <c:v>17.12899065344838</c:v>
                </c:pt>
                <c:pt idx="245">
                  <c:v>16.772850862940579</c:v>
                </c:pt>
                <c:pt idx="246">
                  <c:v>16.426365286394564</c:v>
                </c:pt>
                <c:pt idx="247">
                  <c:v>16.089252824437615</c:v>
                </c:pt>
                <c:pt idx="248">
                  <c:v>15.761240513468525</c:v>
                </c:pt>
                <c:pt idx="249">
                  <c:v>15.442063311234234</c:v>
                </c:pt>
                <c:pt idx="250">
                  <c:v>15.131463886495579</c:v>
                </c:pt>
                <c:pt idx="251">
                  <c:v>14.829196856050428</c:v>
                </c:pt>
                <c:pt idx="252">
                  <c:v>14.535015015040361</c:v>
                </c:pt>
                <c:pt idx="253">
                  <c:v>14.248682954127384</c:v>
                </c:pt>
                <c:pt idx="254">
                  <c:v>13.969972173951978</c:v>
                </c:pt>
                <c:pt idx="255">
                  <c:v>13.698660895340463</c:v>
                </c:pt>
                <c:pt idx="256">
                  <c:v>13.43453387357734</c:v>
                </c:pt>
                <c:pt idx="257">
                  <c:v>13.177382216830203</c:v>
                </c:pt>
                <c:pt idx="258">
                  <c:v>12.927003208650515</c:v>
                </c:pt>
                <c:pt idx="259">
                  <c:v>12.683200134577284</c:v>
                </c:pt>
                <c:pt idx="260">
                  <c:v>12.445782112728185</c:v>
                </c:pt>
                <c:pt idx="261">
                  <c:v>12.214563928468593</c:v>
                </c:pt>
                <c:pt idx="262">
                  <c:v>11.989365872986566</c:v>
                </c:pt>
                <c:pt idx="263">
                  <c:v>11.770013585829091</c:v>
                </c:pt>
                <c:pt idx="264">
                  <c:v>11.556337901287279</c:v>
                </c:pt>
                <c:pt idx="265">
                  <c:v>11.348174698654788</c:v>
                </c:pt>
                <c:pt idx="266">
                  <c:v>11.145364756212414</c:v>
                </c:pt>
                <c:pt idx="267">
                  <c:v>10.947753608958212</c:v>
                </c:pt>
                <c:pt idx="268">
                  <c:v>10.755191409987022</c:v>
                </c:pt>
                <c:pt idx="269">
                  <c:v>10.567532795491834</c:v>
                </c:pt>
                <c:pt idx="270">
                  <c:v>10.384636753282576</c:v>
                </c:pt>
                <c:pt idx="271">
                  <c:v>10.206366494781141</c:v>
                </c:pt>
                <c:pt idx="272">
                  <c:v>10.032589330458167</c:v>
                </c:pt>
                <c:pt idx="273">
                  <c:v>9.8631765485906637</c:v>
                </c:pt>
                <c:pt idx="274">
                  <c:v>9.6980032973153776</c:v>
                </c:pt>
                <c:pt idx="275">
                  <c:v>9.5369484699051874</c:v>
                </c:pt>
                <c:pt idx="276">
                  <c:v>9.3798945931861173</c:v>
                </c:pt>
                <c:pt idx="277">
                  <c:v>9.2267277190346881</c:v>
                </c:pt>
                <c:pt idx="278">
                  <c:v>9.0773373189242399</c:v>
                </c:pt>
                <c:pt idx="279">
                  <c:v>8.931616181377672</c:v>
                </c:pt>
                <c:pt idx="280">
                  <c:v>8.7894603123469732</c:v>
                </c:pt>
                <c:pt idx="281">
                  <c:v>8.6507688383880872</c:v>
                </c:pt>
                <c:pt idx="282">
                  <c:v>8.5154439126060808</c:v>
                </c:pt>
                <c:pt idx="283">
                  <c:v>8.383390623264809</c:v>
                </c:pt>
                <c:pt idx="284">
                  <c:v>8.2545169050467635</c:v>
                </c:pt>
                <c:pt idx="285">
                  <c:v>8.128733452871904</c:v>
                </c:pt>
                <c:pt idx="286">
                  <c:v>8.0059536381886875</c:v>
                </c:pt>
                <c:pt idx="287">
                  <c:v>7.8860934277265571</c:v>
                </c:pt>
                <c:pt idx="288">
                  <c:v>7.769071304623159</c:v>
                </c:pt>
                <c:pt idx="289">
                  <c:v>7.6548081918274118</c:v>
                </c:pt>
                <c:pt idx="290">
                  <c:v>7.5432273778136345</c:v>
                </c:pt>
                <c:pt idx="291">
                  <c:v>7.4342544444448926</c:v>
                </c:pt>
                <c:pt idx="292">
                  <c:v>7.3278171969909165</c:v>
                </c:pt>
                <c:pt idx="293">
                  <c:v>7.2238455962247476</c:v>
                </c:pt>
                <c:pt idx="294">
                  <c:v>7.1222716925319443</c:v>
                </c:pt>
                <c:pt idx="295">
                  <c:v>7.0230295620301986</c:v>
                </c:pt>
                <c:pt idx="296">
                  <c:v>6.9260552445385617</c:v>
                </c:pt>
                <c:pt idx="297">
                  <c:v>6.8312866834647537</c:v>
                </c:pt>
                <c:pt idx="298">
                  <c:v>6.7386636674921814</c:v>
                </c:pt>
                <c:pt idx="299">
                  <c:v>6.6481277740157756</c:v>
                </c:pt>
                <c:pt idx="300">
                  <c:v>6.5596223142904009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C20-4203-83D6-1DCAFCE4A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257184"/>
        <c:axId val="512257512"/>
      </c:lineChart>
      <c:lineChart>
        <c:grouping val="standard"/>
        <c:varyColors val="0"/>
        <c:ser>
          <c:idx val="1"/>
          <c:order val="1"/>
          <c:tx>
            <c:strRef>
              <c:f>CoronavirusTeletrabajo!$C$39</c:f>
              <c:strCache>
                <c:ptCount val="1"/>
                <c:pt idx="0">
                  <c:v>R0</c:v>
                </c:pt>
              </c:strCache>
            </c:strRef>
          </c:tx>
          <c:spPr>
            <a:ln w="15875" cap="sq">
              <a:solidFill>
                <a:schemeClr val="tx1"/>
              </a:solidFill>
              <a:prstDash val="dash"/>
              <a:miter lim="800000"/>
            </a:ln>
            <a:effectLst/>
          </c:spPr>
          <c:marker>
            <c:symbol val="none"/>
          </c:marker>
          <c:cat>
            <c:numRef>
              <c:f>CoronavirusTeletrabajo!$A$40:$A$340</c:f>
              <c:numCache>
                <c:formatCode>0.0%</c:formatCode>
                <c:ptCount val="301"/>
                <c:pt idx="0">
                  <c:v>0</c:v>
                </c:pt>
                <c:pt idx="1">
                  <c:v>1.0000000474974513E-3</c:v>
                </c:pt>
                <c:pt idx="2">
                  <c:v>2.0000000949949026E-3</c:v>
                </c:pt>
                <c:pt idx="3">
                  <c:v>3.0000000260770321E-3</c:v>
                </c:pt>
                <c:pt idx="4">
                  <c:v>4.0000001899898052E-3</c:v>
                </c:pt>
                <c:pt idx="5">
                  <c:v>5.0000003539025784E-3</c:v>
                </c:pt>
                <c:pt idx="6">
                  <c:v>6.0000005178153515E-3</c:v>
                </c:pt>
                <c:pt idx="7">
                  <c:v>7.0000006817281246E-3</c:v>
                </c:pt>
                <c:pt idx="8">
                  <c:v>8.0000003799796104E-3</c:v>
                </c:pt>
                <c:pt idx="9">
                  <c:v>9.0000005438923836E-3</c:v>
                </c:pt>
                <c:pt idx="10">
                  <c:v>1.0000000707805157E-2</c:v>
                </c:pt>
                <c:pt idx="11">
                  <c:v>1.100000087171793E-2</c:v>
                </c:pt>
                <c:pt idx="12">
                  <c:v>1.2000001035630703E-2</c:v>
                </c:pt>
                <c:pt idx="13">
                  <c:v>1.3000001199543476E-2</c:v>
                </c:pt>
                <c:pt idx="14">
                  <c:v>1.4000001363456249E-2</c:v>
                </c:pt>
                <c:pt idx="15">
                  <c:v>1.5000001527369022E-2</c:v>
                </c:pt>
                <c:pt idx="16">
                  <c:v>1.6000000759959221E-2</c:v>
                </c:pt>
                <c:pt idx="17">
                  <c:v>1.7000000923871994E-2</c:v>
                </c:pt>
                <c:pt idx="18">
                  <c:v>1.8000001087784767E-2</c:v>
                </c:pt>
                <c:pt idx="19">
                  <c:v>1.900000125169754E-2</c:v>
                </c:pt>
                <c:pt idx="20">
                  <c:v>2.0000001415610313E-2</c:v>
                </c:pt>
                <c:pt idx="21">
                  <c:v>2.1000001579523087E-2</c:v>
                </c:pt>
                <c:pt idx="22">
                  <c:v>2.200000174343586E-2</c:v>
                </c:pt>
                <c:pt idx="23">
                  <c:v>2.3000001907348633E-2</c:v>
                </c:pt>
                <c:pt idx="24">
                  <c:v>2.4000002071261406E-2</c:v>
                </c:pt>
                <c:pt idx="25">
                  <c:v>2.5000002235174179E-2</c:v>
                </c:pt>
                <c:pt idx="26">
                  <c:v>2.6000002399086952E-2</c:v>
                </c:pt>
                <c:pt idx="27">
                  <c:v>2.7000002562999725E-2</c:v>
                </c:pt>
                <c:pt idx="28">
                  <c:v>2.8000002726912498E-2</c:v>
                </c:pt>
                <c:pt idx="29">
                  <c:v>2.9000002890825272E-2</c:v>
                </c:pt>
                <c:pt idx="30">
                  <c:v>3.0000003054738045E-2</c:v>
                </c:pt>
                <c:pt idx="31">
                  <c:v>3.1000003218650818E-2</c:v>
                </c:pt>
                <c:pt idx="32">
                  <c:v>3.2000001519918442E-2</c:v>
                </c:pt>
                <c:pt idx="33">
                  <c:v>3.2999999821186066E-2</c:v>
                </c:pt>
                <c:pt idx="34">
                  <c:v>3.399999812245369E-2</c:v>
                </c:pt>
                <c:pt idx="35">
                  <c:v>3.4999996423721313E-2</c:v>
                </c:pt>
                <c:pt idx="36">
                  <c:v>3.5999994724988937E-2</c:v>
                </c:pt>
                <c:pt idx="37">
                  <c:v>3.6999993026256561E-2</c:v>
                </c:pt>
                <c:pt idx="38">
                  <c:v>3.7999991327524185E-2</c:v>
                </c:pt>
                <c:pt idx="39">
                  <c:v>3.8999989628791809E-2</c:v>
                </c:pt>
                <c:pt idx="40">
                  <c:v>3.9999987930059433E-2</c:v>
                </c:pt>
                <c:pt idx="41">
                  <c:v>4.0999986231327057E-2</c:v>
                </c:pt>
                <c:pt idx="42">
                  <c:v>4.1999984532594681E-2</c:v>
                </c:pt>
                <c:pt idx="43">
                  <c:v>4.2999982833862305E-2</c:v>
                </c:pt>
                <c:pt idx="44">
                  <c:v>4.3999981135129929E-2</c:v>
                </c:pt>
                <c:pt idx="45">
                  <c:v>4.4999979436397552E-2</c:v>
                </c:pt>
                <c:pt idx="46">
                  <c:v>4.5999977737665176E-2</c:v>
                </c:pt>
                <c:pt idx="47">
                  <c:v>4.69999760389328E-2</c:v>
                </c:pt>
                <c:pt idx="48">
                  <c:v>4.7999974340200424E-2</c:v>
                </c:pt>
                <c:pt idx="49">
                  <c:v>4.8999972641468048E-2</c:v>
                </c:pt>
                <c:pt idx="50">
                  <c:v>4.9999970942735672E-2</c:v>
                </c:pt>
                <c:pt idx="51">
                  <c:v>5.0999969244003296E-2</c:v>
                </c:pt>
                <c:pt idx="52">
                  <c:v>5.199996754527092E-2</c:v>
                </c:pt>
                <c:pt idx="53">
                  <c:v>5.2999965846538544E-2</c:v>
                </c:pt>
                <c:pt idx="54">
                  <c:v>5.3999964147806168E-2</c:v>
                </c:pt>
                <c:pt idx="55">
                  <c:v>5.4999962449073792E-2</c:v>
                </c:pt>
                <c:pt idx="56">
                  <c:v>5.5999960750341415E-2</c:v>
                </c:pt>
                <c:pt idx="57">
                  <c:v>5.6999959051609039E-2</c:v>
                </c:pt>
                <c:pt idx="58">
                  <c:v>5.7999957352876663E-2</c:v>
                </c:pt>
                <c:pt idx="59">
                  <c:v>5.8999955654144287E-2</c:v>
                </c:pt>
                <c:pt idx="60">
                  <c:v>5.9999953955411911E-2</c:v>
                </c:pt>
                <c:pt idx="61">
                  <c:v>6.0999952256679535E-2</c:v>
                </c:pt>
                <c:pt idx="62">
                  <c:v>6.1999950557947159E-2</c:v>
                </c:pt>
                <c:pt idx="63">
                  <c:v>6.2999948859214783E-2</c:v>
                </c:pt>
                <c:pt idx="64">
                  <c:v>6.3999950885772705E-2</c:v>
                </c:pt>
                <c:pt idx="65">
                  <c:v>6.4999952912330627E-2</c:v>
                </c:pt>
                <c:pt idx="66">
                  <c:v>6.599995493888855E-2</c:v>
                </c:pt>
                <c:pt idx="67">
                  <c:v>6.6999956965446472E-2</c:v>
                </c:pt>
                <c:pt idx="68">
                  <c:v>6.7999958992004395E-2</c:v>
                </c:pt>
                <c:pt idx="69">
                  <c:v>6.8999961018562317E-2</c:v>
                </c:pt>
                <c:pt idx="70">
                  <c:v>6.9999963045120239E-2</c:v>
                </c:pt>
                <c:pt idx="71">
                  <c:v>7.0999965071678162E-2</c:v>
                </c:pt>
                <c:pt idx="72">
                  <c:v>7.1999967098236084E-2</c:v>
                </c:pt>
                <c:pt idx="73">
                  <c:v>7.2999969124794006E-2</c:v>
                </c:pt>
                <c:pt idx="74">
                  <c:v>7.3999971151351929E-2</c:v>
                </c:pt>
                <c:pt idx="75">
                  <c:v>7.4999973177909851E-2</c:v>
                </c:pt>
                <c:pt idx="76">
                  <c:v>7.5999975204467773E-2</c:v>
                </c:pt>
                <c:pt idx="77">
                  <c:v>7.6999977231025696E-2</c:v>
                </c:pt>
                <c:pt idx="78">
                  <c:v>7.7999979257583618E-2</c:v>
                </c:pt>
                <c:pt idx="79">
                  <c:v>7.8999981284141541E-2</c:v>
                </c:pt>
                <c:pt idx="80">
                  <c:v>7.9999983310699463E-2</c:v>
                </c:pt>
                <c:pt idx="81">
                  <c:v>8.0999985337257385E-2</c:v>
                </c:pt>
                <c:pt idx="82">
                  <c:v>8.1999987363815308E-2</c:v>
                </c:pt>
                <c:pt idx="83">
                  <c:v>8.299998939037323E-2</c:v>
                </c:pt>
                <c:pt idx="84">
                  <c:v>8.3999991416931152E-2</c:v>
                </c:pt>
                <c:pt idx="85">
                  <c:v>8.4999993443489075E-2</c:v>
                </c:pt>
                <c:pt idx="86">
                  <c:v>8.5999995470046997E-2</c:v>
                </c:pt>
                <c:pt idx="87">
                  <c:v>8.6999997496604919E-2</c:v>
                </c:pt>
                <c:pt idx="88">
                  <c:v>8.7999999523162842E-2</c:v>
                </c:pt>
                <c:pt idx="89">
                  <c:v>8.9000001549720764E-2</c:v>
                </c:pt>
                <c:pt idx="90">
                  <c:v>9.0000003576278687E-2</c:v>
                </c:pt>
                <c:pt idx="91">
                  <c:v>9.1000005602836609E-2</c:v>
                </c:pt>
                <c:pt idx="92">
                  <c:v>9.2000007629394531E-2</c:v>
                </c:pt>
                <c:pt idx="93">
                  <c:v>9.3000009655952454E-2</c:v>
                </c:pt>
                <c:pt idx="94">
                  <c:v>9.4000011682510376E-2</c:v>
                </c:pt>
                <c:pt idx="95">
                  <c:v>9.5000013709068298E-2</c:v>
                </c:pt>
                <c:pt idx="96">
                  <c:v>9.6000015735626221E-2</c:v>
                </c:pt>
                <c:pt idx="97">
                  <c:v>9.7000017762184143E-2</c:v>
                </c:pt>
                <c:pt idx="98">
                  <c:v>9.8000019788742065E-2</c:v>
                </c:pt>
                <c:pt idx="99">
                  <c:v>9.9000021815299988E-2</c:v>
                </c:pt>
                <c:pt idx="100">
                  <c:v>0.10000002384185791</c:v>
                </c:pt>
                <c:pt idx="101">
                  <c:v>0.10100002586841583</c:v>
                </c:pt>
                <c:pt idx="102">
                  <c:v>0.10200002789497375</c:v>
                </c:pt>
                <c:pt idx="103">
                  <c:v>0.10300002992153168</c:v>
                </c:pt>
                <c:pt idx="104">
                  <c:v>0.1040000319480896</c:v>
                </c:pt>
                <c:pt idx="105">
                  <c:v>0.10500003397464752</c:v>
                </c:pt>
                <c:pt idx="106">
                  <c:v>0.10600003600120544</c:v>
                </c:pt>
                <c:pt idx="107">
                  <c:v>0.10700003802776337</c:v>
                </c:pt>
                <c:pt idx="108">
                  <c:v>0.10800004005432129</c:v>
                </c:pt>
                <c:pt idx="109">
                  <c:v>0.10900004208087921</c:v>
                </c:pt>
                <c:pt idx="110">
                  <c:v>0.11000004410743713</c:v>
                </c:pt>
                <c:pt idx="111">
                  <c:v>0.11100004613399506</c:v>
                </c:pt>
                <c:pt idx="112">
                  <c:v>0.11200004816055298</c:v>
                </c:pt>
                <c:pt idx="113">
                  <c:v>0.1130000501871109</c:v>
                </c:pt>
                <c:pt idx="114">
                  <c:v>0.11400005221366882</c:v>
                </c:pt>
                <c:pt idx="115">
                  <c:v>0.11500005424022675</c:v>
                </c:pt>
                <c:pt idx="116">
                  <c:v>0.11600005626678467</c:v>
                </c:pt>
                <c:pt idx="117">
                  <c:v>0.11700005829334259</c:v>
                </c:pt>
                <c:pt idx="118">
                  <c:v>0.11800006031990051</c:v>
                </c:pt>
                <c:pt idx="119">
                  <c:v>0.11900006234645844</c:v>
                </c:pt>
                <c:pt idx="120">
                  <c:v>0.12000006437301636</c:v>
                </c:pt>
                <c:pt idx="121">
                  <c:v>0.12100006639957428</c:v>
                </c:pt>
                <c:pt idx="122">
                  <c:v>0.1220000684261322</c:v>
                </c:pt>
                <c:pt idx="123">
                  <c:v>0.12300007045269012</c:v>
                </c:pt>
                <c:pt idx="124">
                  <c:v>0.12400007247924805</c:v>
                </c:pt>
                <c:pt idx="125">
                  <c:v>0.12500007450580597</c:v>
                </c:pt>
                <c:pt idx="126">
                  <c:v>0.12600007653236389</c:v>
                </c:pt>
                <c:pt idx="127">
                  <c:v>0.12700007855892181</c:v>
                </c:pt>
                <c:pt idx="128">
                  <c:v>0.12800008058547974</c:v>
                </c:pt>
                <c:pt idx="129">
                  <c:v>0.12900008261203766</c:v>
                </c:pt>
                <c:pt idx="130">
                  <c:v>0.13000008463859558</c:v>
                </c:pt>
                <c:pt idx="131">
                  <c:v>0.1310000866651535</c:v>
                </c:pt>
                <c:pt idx="132">
                  <c:v>0.13200008869171143</c:v>
                </c:pt>
                <c:pt idx="133">
                  <c:v>0.13300009071826935</c:v>
                </c:pt>
                <c:pt idx="134">
                  <c:v>0.13400009274482727</c:v>
                </c:pt>
                <c:pt idx="135">
                  <c:v>0.13500009477138519</c:v>
                </c:pt>
                <c:pt idx="136">
                  <c:v>0.13600009679794312</c:v>
                </c:pt>
                <c:pt idx="137">
                  <c:v>0.13700009882450104</c:v>
                </c:pt>
                <c:pt idx="138">
                  <c:v>0.13800010085105896</c:v>
                </c:pt>
                <c:pt idx="139">
                  <c:v>0.13900010287761688</c:v>
                </c:pt>
                <c:pt idx="140">
                  <c:v>0.1400001049041748</c:v>
                </c:pt>
                <c:pt idx="141">
                  <c:v>0.14100010693073273</c:v>
                </c:pt>
                <c:pt idx="142">
                  <c:v>0.14200010895729065</c:v>
                </c:pt>
                <c:pt idx="143">
                  <c:v>0.14300011098384857</c:v>
                </c:pt>
                <c:pt idx="144">
                  <c:v>0.14400011301040649</c:v>
                </c:pt>
                <c:pt idx="145">
                  <c:v>0.14500011503696442</c:v>
                </c:pt>
                <c:pt idx="146">
                  <c:v>0.14600011706352234</c:v>
                </c:pt>
                <c:pt idx="147">
                  <c:v>0.14700011909008026</c:v>
                </c:pt>
                <c:pt idx="148">
                  <c:v>0.14800012111663818</c:v>
                </c:pt>
                <c:pt idx="149">
                  <c:v>0.14900012314319611</c:v>
                </c:pt>
                <c:pt idx="150">
                  <c:v>0.15000012516975403</c:v>
                </c:pt>
                <c:pt idx="151">
                  <c:v>0.15100012719631195</c:v>
                </c:pt>
                <c:pt idx="152">
                  <c:v>0.15200012922286987</c:v>
                </c:pt>
                <c:pt idx="153">
                  <c:v>0.1530001312494278</c:v>
                </c:pt>
                <c:pt idx="154">
                  <c:v>0.15400013327598572</c:v>
                </c:pt>
                <c:pt idx="155">
                  <c:v>0.15500013530254364</c:v>
                </c:pt>
                <c:pt idx="156">
                  <c:v>0.15600013732910156</c:v>
                </c:pt>
                <c:pt idx="157">
                  <c:v>0.15700013935565948</c:v>
                </c:pt>
                <c:pt idx="158">
                  <c:v>0.15800014138221741</c:v>
                </c:pt>
                <c:pt idx="159">
                  <c:v>0.15900014340877533</c:v>
                </c:pt>
                <c:pt idx="160">
                  <c:v>0.16000014543533325</c:v>
                </c:pt>
                <c:pt idx="161">
                  <c:v>0.16100014746189117</c:v>
                </c:pt>
                <c:pt idx="162">
                  <c:v>0.1620001494884491</c:v>
                </c:pt>
                <c:pt idx="163">
                  <c:v>0.16300015151500702</c:v>
                </c:pt>
                <c:pt idx="164">
                  <c:v>0.16400015354156494</c:v>
                </c:pt>
                <c:pt idx="165">
                  <c:v>0.16500015556812286</c:v>
                </c:pt>
                <c:pt idx="166">
                  <c:v>0.16600015759468079</c:v>
                </c:pt>
                <c:pt idx="167">
                  <c:v>0.16700015962123871</c:v>
                </c:pt>
                <c:pt idx="168">
                  <c:v>0.16800016164779663</c:v>
                </c:pt>
                <c:pt idx="169">
                  <c:v>0.16900016367435455</c:v>
                </c:pt>
                <c:pt idx="170">
                  <c:v>0.17000016570091248</c:v>
                </c:pt>
                <c:pt idx="171">
                  <c:v>0.1710001677274704</c:v>
                </c:pt>
                <c:pt idx="172">
                  <c:v>0.17200016975402832</c:v>
                </c:pt>
                <c:pt idx="173">
                  <c:v>0.17300017178058624</c:v>
                </c:pt>
                <c:pt idx="174">
                  <c:v>0.17400017380714417</c:v>
                </c:pt>
                <c:pt idx="175">
                  <c:v>0.17500017583370209</c:v>
                </c:pt>
                <c:pt idx="176">
                  <c:v>0.17600017786026001</c:v>
                </c:pt>
                <c:pt idx="177">
                  <c:v>0.17700017988681793</c:v>
                </c:pt>
                <c:pt idx="178">
                  <c:v>0.17800018191337585</c:v>
                </c:pt>
                <c:pt idx="179">
                  <c:v>0.17900018393993378</c:v>
                </c:pt>
                <c:pt idx="180">
                  <c:v>0.1800001859664917</c:v>
                </c:pt>
                <c:pt idx="181">
                  <c:v>0.18100018799304962</c:v>
                </c:pt>
                <c:pt idx="182">
                  <c:v>0.18200019001960754</c:v>
                </c:pt>
                <c:pt idx="183">
                  <c:v>0.18300019204616547</c:v>
                </c:pt>
                <c:pt idx="184">
                  <c:v>0.18400019407272339</c:v>
                </c:pt>
                <c:pt idx="185">
                  <c:v>0.18500019609928131</c:v>
                </c:pt>
                <c:pt idx="186">
                  <c:v>0.18600019812583923</c:v>
                </c:pt>
                <c:pt idx="187">
                  <c:v>0.18700020015239716</c:v>
                </c:pt>
                <c:pt idx="188">
                  <c:v>0.18800020217895508</c:v>
                </c:pt>
                <c:pt idx="189">
                  <c:v>0.189000204205513</c:v>
                </c:pt>
                <c:pt idx="190">
                  <c:v>0.19000020623207092</c:v>
                </c:pt>
                <c:pt idx="191">
                  <c:v>0.19100020825862885</c:v>
                </c:pt>
                <c:pt idx="192">
                  <c:v>0.19200021028518677</c:v>
                </c:pt>
                <c:pt idx="193">
                  <c:v>0.19300021231174469</c:v>
                </c:pt>
                <c:pt idx="194">
                  <c:v>0.19400021433830261</c:v>
                </c:pt>
                <c:pt idx="195">
                  <c:v>0.19500021636486053</c:v>
                </c:pt>
                <c:pt idx="196">
                  <c:v>0.19600021839141846</c:v>
                </c:pt>
                <c:pt idx="197">
                  <c:v>0.19700022041797638</c:v>
                </c:pt>
                <c:pt idx="198">
                  <c:v>0.1980002224445343</c:v>
                </c:pt>
                <c:pt idx="199">
                  <c:v>0.19900022447109222</c:v>
                </c:pt>
                <c:pt idx="200">
                  <c:v>0.20000022649765015</c:v>
                </c:pt>
                <c:pt idx="201">
                  <c:v>0.20100022852420807</c:v>
                </c:pt>
                <c:pt idx="202">
                  <c:v>0.20200023055076599</c:v>
                </c:pt>
                <c:pt idx="203">
                  <c:v>0.20300023257732391</c:v>
                </c:pt>
                <c:pt idx="204">
                  <c:v>0.20400023460388184</c:v>
                </c:pt>
                <c:pt idx="205">
                  <c:v>0.20500023663043976</c:v>
                </c:pt>
                <c:pt idx="206">
                  <c:v>0.20600023865699768</c:v>
                </c:pt>
                <c:pt idx="207">
                  <c:v>0.2070002406835556</c:v>
                </c:pt>
                <c:pt idx="208">
                  <c:v>0.20800024271011353</c:v>
                </c:pt>
                <c:pt idx="209">
                  <c:v>0.20900024473667145</c:v>
                </c:pt>
                <c:pt idx="210">
                  <c:v>0.21000024676322937</c:v>
                </c:pt>
                <c:pt idx="211">
                  <c:v>0.21100024878978729</c:v>
                </c:pt>
                <c:pt idx="212">
                  <c:v>0.21200025081634521</c:v>
                </c:pt>
                <c:pt idx="213">
                  <c:v>0.21300025284290314</c:v>
                </c:pt>
                <c:pt idx="214">
                  <c:v>0.21400025486946106</c:v>
                </c:pt>
                <c:pt idx="215">
                  <c:v>0.21500025689601898</c:v>
                </c:pt>
                <c:pt idx="216">
                  <c:v>0.2160002589225769</c:v>
                </c:pt>
                <c:pt idx="217">
                  <c:v>0.21700026094913483</c:v>
                </c:pt>
                <c:pt idx="218">
                  <c:v>0.21800026297569275</c:v>
                </c:pt>
                <c:pt idx="219">
                  <c:v>0.21900026500225067</c:v>
                </c:pt>
                <c:pt idx="220">
                  <c:v>0.22000026702880859</c:v>
                </c:pt>
                <c:pt idx="221">
                  <c:v>0.22100026905536652</c:v>
                </c:pt>
                <c:pt idx="222">
                  <c:v>0.22200027108192444</c:v>
                </c:pt>
                <c:pt idx="223">
                  <c:v>0.22300027310848236</c:v>
                </c:pt>
                <c:pt idx="224">
                  <c:v>0.22400027513504028</c:v>
                </c:pt>
                <c:pt idx="225">
                  <c:v>0.22500027716159821</c:v>
                </c:pt>
                <c:pt idx="226">
                  <c:v>0.22600027918815613</c:v>
                </c:pt>
                <c:pt idx="227">
                  <c:v>0.22700028121471405</c:v>
                </c:pt>
                <c:pt idx="228">
                  <c:v>0.22800028324127197</c:v>
                </c:pt>
                <c:pt idx="229">
                  <c:v>0.2290002852678299</c:v>
                </c:pt>
                <c:pt idx="230">
                  <c:v>0.23000028729438782</c:v>
                </c:pt>
                <c:pt idx="231">
                  <c:v>0.23100028932094574</c:v>
                </c:pt>
                <c:pt idx="232">
                  <c:v>0.23200029134750366</c:v>
                </c:pt>
                <c:pt idx="233">
                  <c:v>0.23300029337406158</c:v>
                </c:pt>
                <c:pt idx="234">
                  <c:v>0.23400029540061951</c:v>
                </c:pt>
                <c:pt idx="235">
                  <c:v>0.23500029742717743</c:v>
                </c:pt>
                <c:pt idx="236">
                  <c:v>0.23600029945373535</c:v>
                </c:pt>
                <c:pt idx="237">
                  <c:v>0.23700030148029327</c:v>
                </c:pt>
                <c:pt idx="238">
                  <c:v>0.2380003035068512</c:v>
                </c:pt>
                <c:pt idx="239">
                  <c:v>0.23900030553340912</c:v>
                </c:pt>
                <c:pt idx="240">
                  <c:v>0.24000030755996704</c:v>
                </c:pt>
                <c:pt idx="241">
                  <c:v>0.24100030958652496</c:v>
                </c:pt>
                <c:pt idx="242">
                  <c:v>0.24200031161308289</c:v>
                </c:pt>
                <c:pt idx="243">
                  <c:v>0.24300031363964081</c:v>
                </c:pt>
                <c:pt idx="244">
                  <c:v>0.24400031566619873</c:v>
                </c:pt>
                <c:pt idx="245">
                  <c:v>0.24500031769275665</c:v>
                </c:pt>
                <c:pt idx="246">
                  <c:v>0.24600031971931458</c:v>
                </c:pt>
                <c:pt idx="247">
                  <c:v>0.2470003217458725</c:v>
                </c:pt>
                <c:pt idx="248">
                  <c:v>0.24800032377243042</c:v>
                </c:pt>
                <c:pt idx="249">
                  <c:v>0.24900032579898834</c:v>
                </c:pt>
                <c:pt idx="250">
                  <c:v>0.25000032782554626</c:v>
                </c:pt>
                <c:pt idx="251">
                  <c:v>0.25100031495094299</c:v>
                </c:pt>
                <c:pt idx="252">
                  <c:v>0.25200030207633972</c:v>
                </c:pt>
                <c:pt idx="253">
                  <c:v>0.25300028920173645</c:v>
                </c:pt>
                <c:pt idx="254">
                  <c:v>0.25400027632713318</c:v>
                </c:pt>
                <c:pt idx="255">
                  <c:v>0.25500026345252991</c:v>
                </c:pt>
                <c:pt idx="256">
                  <c:v>0.25600025057792664</c:v>
                </c:pt>
                <c:pt idx="257">
                  <c:v>0.25700023770332336</c:v>
                </c:pt>
                <c:pt idx="258">
                  <c:v>0.25800022482872009</c:v>
                </c:pt>
                <c:pt idx="259">
                  <c:v>0.25900021195411682</c:v>
                </c:pt>
                <c:pt idx="260">
                  <c:v>0.26000019907951355</c:v>
                </c:pt>
                <c:pt idx="261">
                  <c:v>0.26100018620491028</c:v>
                </c:pt>
                <c:pt idx="262">
                  <c:v>0.26200017333030701</c:v>
                </c:pt>
                <c:pt idx="263">
                  <c:v>0.26300016045570374</c:v>
                </c:pt>
                <c:pt idx="264">
                  <c:v>0.26400014758110046</c:v>
                </c:pt>
                <c:pt idx="265">
                  <c:v>0.26500013470649719</c:v>
                </c:pt>
                <c:pt idx="266">
                  <c:v>0.26600012183189392</c:v>
                </c:pt>
                <c:pt idx="267">
                  <c:v>0.26700010895729065</c:v>
                </c:pt>
                <c:pt idx="268">
                  <c:v>0.26800009608268738</c:v>
                </c:pt>
                <c:pt idx="269">
                  <c:v>0.26900008320808411</c:v>
                </c:pt>
                <c:pt idx="270">
                  <c:v>0.27000007033348083</c:v>
                </c:pt>
                <c:pt idx="271">
                  <c:v>0.27100005745887756</c:v>
                </c:pt>
                <c:pt idx="272">
                  <c:v>0.27200004458427429</c:v>
                </c:pt>
                <c:pt idx="273">
                  <c:v>0.27300003170967102</c:v>
                </c:pt>
                <c:pt idx="274">
                  <c:v>0.27400001883506775</c:v>
                </c:pt>
                <c:pt idx="275">
                  <c:v>0.27500000596046448</c:v>
                </c:pt>
                <c:pt idx="276">
                  <c:v>0.27599999308586121</c:v>
                </c:pt>
                <c:pt idx="277">
                  <c:v>0.27699998021125793</c:v>
                </c:pt>
                <c:pt idx="278">
                  <c:v>0.27799996733665466</c:v>
                </c:pt>
                <c:pt idx="279">
                  <c:v>0.27899995446205139</c:v>
                </c:pt>
                <c:pt idx="280">
                  <c:v>0.27999994158744812</c:v>
                </c:pt>
                <c:pt idx="281">
                  <c:v>0.28099992871284485</c:v>
                </c:pt>
                <c:pt idx="282">
                  <c:v>0.28199991583824158</c:v>
                </c:pt>
                <c:pt idx="283">
                  <c:v>0.28299990296363831</c:v>
                </c:pt>
                <c:pt idx="284">
                  <c:v>0.28399989008903503</c:v>
                </c:pt>
                <c:pt idx="285">
                  <c:v>0.28499987721443176</c:v>
                </c:pt>
                <c:pt idx="286">
                  <c:v>0.28599986433982849</c:v>
                </c:pt>
                <c:pt idx="287">
                  <c:v>0.28699985146522522</c:v>
                </c:pt>
                <c:pt idx="288">
                  <c:v>0.28799983859062195</c:v>
                </c:pt>
                <c:pt idx="289">
                  <c:v>0.28899982571601868</c:v>
                </c:pt>
                <c:pt idx="290">
                  <c:v>0.28999981284141541</c:v>
                </c:pt>
                <c:pt idx="291">
                  <c:v>0.29099979996681213</c:v>
                </c:pt>
                <c:pt idx="292">
                  <c:v>0.29199978709220886</c:v>
                </c:pt>
                <c:pt idx="293">
                  <c:v>0.29299977421760559</c:v>
                </c:pt>
                <c:pt idx="294">
                  <c:v>0.29399976134300232</c:v>
                </c:pt>
                <c:pt idx="295">
                  <c:v>0.29499974846839905</c:v>
                </c:pt>
                <c:pt idx="296">
                  <c:v>0.29599973559379578</c:v>
                </c:pt>
                <c:pt idx="297">
                  <c:v>0.2969997227191925</c:v>
                </c:pt>
                <c:pt idx="298">
                  <c:v>0.29799970984458923</c:v>
                </c:pt>
                <c:pt idx="299">
                  <c:v>0.29899969696998596</c:v>
                </c:pt>
                <c:pt idx="300">
                  <c:v>0.29999968409538269</c:v>
                </c:pt>
              </c:numCache>
            </c:numRef>
          </c:cat>
          <c:val>
            <c:numRef>
              <c:f>CoronavirusTeletrabajo!$C$40:$C$340</c:f>
              <c:numCache>
                <c:formatCode>#,##0.00</c:formatCode>
                <c:ptCount val="301"/>
                <c:pt idx="0">
                  <c:v>1.75</c:v>
                </c:pt>
                <c:pt idx="1">
                  <c:v>1.746501749833925</c:v>
                </c:pt>
                <c:pt idx="2">
                  <c:v>1.743006999668183</c:v>
                </c:pt>
                <c:pt idx="3">
                  <c:v>1.7395157499090041</c:v>
                </c:pt>
                <c:pt idx="4">
                  <c:v>1.7360279993376957</c:v>
                </c:pt>
                <c:pt idx="5">
                  <c:v>1.7325437487675344</c:v>
                </c:pt>
                <c:pt idx="6">
                  <c:v>1.7290629981985204</c:v>
                </c:pt>
                <c:pt idx="7">
                  <c:v>1.725585747630654</c:v>
                </c:pt>
                <c:pt idx="8">
                  <c:v>1.722111998680711</c:v>
                </c:pt>
                <c:pt idx="9">
                  <c:v>1.7186417481135094</c:v>
                </c:pt>
                <c:pt idx="10">
                  <c:v>1.7151749975474551</c:v>
                </c:pt>
                <c:pt idx="11">
                  <c:v>1.7117117469825482</c:v>
                </c:pt>
                <c:pt idx="12">
                  <c:v>1.708251996418789</c:v>
                </c:pt>
                <c:pt idx="13">
                  <c:v>1.7047957458561771</c:v>
                </c:pt>
                <c:pt idx="14">
                  <c:v>1.7013429952947126</c:v>
                </c:pt>
                <c:pt idx="15">
                  <c:v>1.6978937447343954</c:v>
                </c:pt>
                <c:pt idx="16">
                  <c:v>1.6944479973827005</c:v>
                </c:pt>
                <c:pt idx="17">
                  <c:v>1.6910057468214184</c:v>
                </c:pt>
                <c:pt idx="18">
                  <c:v>1.6875669962612836</c:v>
                </c:pt>
                <c:pt idx="19">
                  <c:v>1.6841317457022966</c:v>
                </c:pt>
                <c:pt idx="20">
                  <c:v>1.6806999951444566</c:v>
                </c:pt>
                <c:pt idx="21">
                  <c:v>1.6772717445877641</c:v>
                </c:pt>
                <c:pt idx="22">
                  <c:v>1.6738469940322191</c:v>
                </c:pt>
                <c:pt idx="23">
                  <c:v>1.6704257434778214</c:v>
                </c:pt>
                <c:pt idx="24">
                  <c:v>1.6670079929245709</c:v>
                </c:pt>
                <c:pt idx="25">
                  <c:v>1.663593742372468</c:v>
                </c:pt>
                <c:pt idx="26">
                  <c:v>1.6601829918215127</c:v>
                </c:pt>
                <c:pt idx="27">
                  <c:v>1.6567757412717043</c:v>
                </c:pt>
                <c:pt idx="28">
                  <c:v>1.6533719907230437</c:v>
                </c:pt>
                <c:pt idx="29">
                  <c:v>1.6499717401755303</c:v>
                </c:pt>
                <c:pt idx="30">
                  <c:v>1.6465749896291644</c:v>
                </c:pt>
                <c:pt idx="31">
                  <c:v>1.643181739083946</c:v>
                </c:pt>
                <c:pt idx="32">
                  <c:v>1.6397919948505164</c:v>
                </c:pt>
                <c:pt idx="33">
                  <c:v>1.6364057506051957</c:v>
                </c:pt>
                <c:pt idx="34">
                  <c:v>1.633023006347984</c:v>
                </c:pt>
                <c:pt idx="35">
                  <c:v>1.6296437620788813</c:v>
                </c:pt>
                <c:pt idx="36">
                  <c:v>1.6262680177978874</c:v>
                </c:pt>
                <c:pt idx="37">
                  <c:v>1.6228957735050022</c:v>
                </c:pt>
                <c:pt idx="38">
                  <c:v>1.6195270292002262</c:v>
                </c:pt>
                <c:pt idx="39">
                  <c:v>1.616161784883559</c:v>
                </c:pt>
                <c:pt idx="40">
                  <c:v>1.6128000405550007</c:v>
                </c:pt>
                <c:pt idx="41">
                  <c:v>1.6094417962145511</c:v>
                </c:pt>
                <c:pt idx="42">
                  <c:v>1.6060870518622106</c:v>
                </c:pt>
                <c:pt idx="43">
                  <c:v>1.6027358074979787</c:v>
                </c:pt>
                <c:pt idx="44">
                  <c:v>1.599388063121856</c:v>
                </c:pt>
                <c:pt idx="45">
                  <c:v>1.5960438187338419</c:v>
                </c:pt>
                <c:pt idx="46">
                  <c:v>1.592703074333937</c:v>
                </c:pt>
                <c:pt idx="47">
                  <c:v>1.5893658299221407</c:v>
                </c:pt>
                <c:pt idx="48">
                  <c:v>1.5860320854984533</c:v>
                </c:pt>
                <c:pt idx="49">
                  <c:v>1.5827018410628748</c:v>
                </c:pt>
                <c:pt idx="50">
                  <c:v>1.5793750966154054</c:v>
                </c:pt>
                <c:pt idx="51">
                  <c:v>1.5760518521560447</c:v>
                </c:pt>
                <c:pt idx="52">
                  <c:v>1.5727321076847929</c:v>
                </c:pt>
                <c:pt idx="53">
                  <c:v>1.5694158632016499</c:v>
                </c:pt>
                <c:pt idx="54">
                  <c:v>1.5661031187066161</c:v>
                </c:pt>
                <c:pt idx="55">
                  <c:v>1.5627938741996912</c:v>
                </c:pt>
                <c:pt idx="56">
                  <c:v>1.5594881296808747</c:v>
                </c:pt>
                <c:pt idx="57">
                  <c:v>1.5561858851501673</c:v>
                </c:pt>
                <c:pt idx="58">
                  <c:v>1.552887140607569</c:v>
                </c:pt>
                <c:pt idx="59">
                  <c:v>1.5495918960530792</c:v>
                </c:pt>
                <c:pt idx="60">
                  <c:v>1.5463001514866985</c:v>
                </c:pt>
                <c:pt idx="61">
                  <c:v>1.5430119069084265</c:v>
                </c:pt>
                <c:pt idx="62">
                  <c:v>1.5397271623182638</c:v>
                </c:pt>
                <c:pt idx="63">
                  <c:v>1.53644591771621</c:v>
                </c:pt>
                <c:pt idx="64">
                  <c:v>1.5331681608982128</c:v>
                </c:pt>
                <c:pt idx="65">
                  <c:v>1.5298939040944022</c:v>
                </c:pt>
                <c:pt idx="66">
                  <c:v>1.5266231473047769</c:v>
                </c:pt>
                <c:pt idx="67">
                  <c:v>1.5233558905293378</c:v>
                </c:pt>
                <c:pt idx="68">
                  <c:v>1.5200921337680846</c:v>
                </c:pt>
                <c:pt idx="69">
                  <c:v>1.5168318770210174</c:v>
                </c:pt>
                <c:pt idx="70">
                  <c:v>1.513575120288136</c:v>
                </c:pt>
                <c:pt idx="71">
                  <c:v>1.5103218635694409</c:v>
                </c:pt>
                <c:pt idx="72">
                  <c:v>1.5070721068649311</c:v>
                </c:pt>
                <c:pt idx="73">
                  <c:v>1.5038258501746078</c:v>
                </c:pt>
                <c:pt idx="74">
                  <c:v>1.5005830934984699</c:v>
                </c:pt>
                <c:pt idx="75">
                  <c:v>1.4973438368365182</c:v>
                </c:pt>
                <c:pt idx="76">
                  <c:v>1.4941080801887523</c:v>
                </c:pt>
                <c:pt idx="77">
                  <c:v>1.4908758235551725</c:v>
                </c:pt>
                <c:pt idx="78">
                  <c:v>1.4876470669357784</c:v>
                </c:pt>
                <c:pt idx="79">
                  <c:v>1.4844218103305706</c:v>
                </c:pt>
                <c:pt idx="80">
                  <c:v>1.4812000537395482</c:v>
                </c:pt>
                <c:pt idx="81">
                  <c:v>1.4779817971627123</c:v>
                </c:pt>
                <c:pt idx="82">
                  <c:v>1.4747670406000617</c:v>
                </c:pt>
                <c:pt idx="83">
                  <c:v>1.4715557840515974</c:v>
                </c:pt>
                <c:pt idx="84">
                  <c:v>1.4683480275173189</c:v>
                </c:pt>
                <c:pt idx="85">
                  <c:v>1.4651437709972264</c:v>
                </c:pt>
                <c:pt idx="86">
                  <c:v>1.4619430144913197</c:v>
                </c:pt>
                <c:pt idx="87">
                  <c:v>1.4587457579995993</c:v>
                </c:pt>
                <c:pt idx="88">
                  <c:v>1.4555520015220642</c:v>
                </c:pt>
                <c:pt idx="89">
                  <c:v>1.4523617450587156</c:v>
                </c:pt>
                <c:pt idx="90">
                  <c:v>1.4491749886095524</c:v>
                </c:pt>
                <c:pt idx="91">
                  <c:v>1.4459917321745754</c:v>
                </c:pt>
                <c:pt idx="92">
                  <c:v>1.4428119757537843</c:v>
                </c:pt>
                <c:pt idx="93">
                  <c:v>1.4396357193471792</c:v>
                </c:pt>
                <c:pt idx="94">
                  <c:v>1.4364629629547598</c:v>
                </c:pt>
                <c:pt idx="95">
                  <c:v>1.4332937065765268</c:v>
                </c:pt>
                <c:pt idx="96">
                  <c:v>1.4301279502124791</c:v>
                </c:pt>
                <c:pt idx="97">
                  <c:v>1.4269656938626178</c:v>
                </c:pt>
                <c:pt idx="98">
                  <c:v>1.423806937526942</c:v>
                </c:pt>
                <c:pt idx="99">
                  <c:v>1.4206516812054524</c:v>
                </c:pt>
                <c:pt idx="100">
                  <c:v>1.4174999248981486</c:v>
                </c:pt>
                <c:pt idx="101">
                  <c:v>1.4143516686050308</c:v>
                </c:pt>
                <c:pt idx="102">
                  <c:v>1.4112069123260989</c:v>
                </c:pt>
                <c:pt idx="103">
                  <c:v>1.4080656560613531</c:v>
                </c:pt>
                <c:pt idx="104">
                  <c:v>1.4049278998107928</c:v>
                </c:pt>
                <c:pt idx="105">
                  <c:v>1.4017936435744189</c:v>
                </c:pt>
                <c:pt idx="106">
                  <c:v>1.3986628873522304</c:v>
                </c:pt>
                <c:pt idx="107">
                  <c:v>1.3955356311442282</c:v>
                </c:pt>
                <c:pt idx="108">
                  <c:v>1.3924118749504117</c:v>
                </c:pt>
                <c:pt idx="109">
                  <c:v>1.3892916187707813</c:v>
                </c:pt>
                <c:pt idx="110">
                  <c:v>1.3861748626053367</c:v>
                </c:pt>
                <c:pt idx="111">
                  <c:v>1.3830616064540784</c:v>
                </c:pt>
                <c:pt idx="112">
                  <c:v>1.3799518503170054</c:v>
                </c:pt>
                <c:pt idx="113">
                  <c:v>1.3768455941941189</c:v>
                </c:pt>
                <c:pt idx="114">
                  <c:v>1.3737428380854178</c:v>
                </c:pt>
                <c:pt idx="115">
                  <c:v>1.3706435819909029</c:v>
                </c:pt>
                <c:pt idx="116">
                  <c:v>1.3675478259105738</c:v>
                </c:pt>
                <c:pt idx="117">
                  <c:v>1.3644555698444307</c:v>
                </c:pt>
                <c:pt idx="118">
                  <c:v>1.3613668137924735</c:v>
                </c:pt>
                <c:pt idx="119">
                  <c:v>1.3582815577547025</c:v>
                </c:pt>
                <c:pt idx="120">
                  <c:v>1.3551998017311169</c:v>
                </c:pt>
                <c:pt idx="121">
                  <c:v>1.3521215457217177</c:v>
                </c:pt>
                <c:pt idx="122">
                  <c:v>1.3490467897265039</c:v>
                </c:pt>
                <c:pt idx="123">
                  <c:v>1.3459755337454764</c:v>
                </c:pt>
                <c:pt idx="124">
                  <c:v>1.3429077777786347</c:v>
                </c:pt>
                <c:pt idx="125">
                  <c:v>1.339843521825979</c:v>
                </c:pt>
                <c:pt idx="126">
                  <c:v>1.3367827658875091</c:v>
                </c:pt>
                <c:pt idx="127">
                  <c:v>1.3337255099632255</c:v>
                </c:pt>
                <c:pt idx="128">
                  <c:v>1.3306717540531272</c:v>
                </c:pt>
                <c:pt idx="129">
                  <c:v>1.3276214981572154</c:v>
                </c:pt>
                <c:pt idx="130">
                  <c:v>1.324574742275489</c:v>
                </c:pt>
                <c:pt idx="131">
                  <c:v>1.3215314864079488</c:v>
                </c:pt>
                <c:pt idx="132">
                  <c:v>1.3184917305545945</c:v>
                </c:pt>
                <c:pt idx="133">
                  <c:v>1.3154554747154261</c:v>
                </c:pt>
                <c:pt idx="134">
                  <c:v>1.3124227188904436</c:v>
                </c:pt>
                <c:pt idx="135">
                  <c:v>1.3093934630796473</c:v>
                </c:pt>
                <c:pt idx="136">
                  <c:v>1.3063677072830364</c:v>
                </c:pt>
                <c:pt idx="137">
                  <c:v>1.303345451500612</c:v>
                </c:pt>
                <c:pt idx="138">
                  <c:v>1.3003266957323729</c:v>
                </c:pt>
                <c:pt idx="139">
                  <c:v>1.2973114399783201</c:v>
                </c:pt>
                <c:pt idx="140">
                  <c:v>1.2942996842384531</c:v>
                </c:pt>
                <c:pt idx="141">
                  <c:v>1.2912914285127721</c:v>
                </c:pt>
                <c:pt idx="142">
                  <c:v>1.288286672801277</c:v>
                </c:pt>
                <c:pt idx="143">
                  <c:v>1.285285417103968</c:v>
                </c:pt>
                <c:pt idx="144">
                  <c:v>1.2822876614208445</c:v>
                </c:pt>
                <c:pt idx="145">
                  <c:v>1.2792934057519074</c:v>
                </c:pt>
                <c:pt idx="146">
                  <c:v>1.2763026500971557</c:v>
                </c:pt>
                <c:pt idx="147">
                  <c:v>1.2733153944565903</c:v>
                </c:pt>
                <c:pt idx="148">
                  <c:v>1.2703316388302106</c:v>
                </c:pt>
                <c:pt idx="149">
                  <c:v>1.267351383218017</c:v>
                </c:pt>
                <c:pt idx="150">
                  <c:v>1.2643746276200092</c:v>
                </c:pt>
                <c:pt idx="151">
                  <c:v>1.2614013720361876</c:v>
                </c:pt>
                <c:pt idx="152">
                  <c:v>1.2584316164665514</c:v>
                </c:pt>
                <c:pt idx="153">
                  <c:v>1.2554653609111017</c:v>
                </c:pt>
                <c:pt idx="154">
                  <c:v>1.2525026053698374</c:v>
                </c:pt>
                <c:pt idx="155">
                  <c:v>1.2495433498427593</c:v>
                </c:pt>
                <c:pt idx="156">
                  <c:v>1.246587594329867</c:v>
                </c:pt>
                <c:pt idx="157">
                  <c:v>1.2436353388311607</c:v>
                </c:pt>
                <c:pt idx="158">
                  <c:v>1.2406865833466403</c:v>
                </c:pt>
                <c:pt idx="159">
                  <c:v>1.2377413278763061</c:v>
                </c:pt>
                <c:pt idx="160">
                  <c:v>1.2347995724201573</c:v>
                </c:pt>
                <c:pt idx="161">
                  <c:v>1.2318613169781949</c:v>
                </c:pt>
                <c:pt idx="162">
                  <c:v>1.2289265615504179</c:v>
                </c:pt>
                <c:pt idx="163">
                  <c:v>1.2259953061368272</c:v>
                </c:pt>
                <c:pt idx="164">
                  <c:v>1.2230675507374222</c:v>
                </c:pt>
                <c:pt idx="165">
                  <c:v>1.2201432953522033</c:v>
                </c:pt>
                <c:pt idx="166">
                  <c:v>1.2172225399811702</c:v>
                </c:pt>
                <c:pt idx="167">
                  <c:v>1.2143052846243234</c:v>
                </c:pt>
                <c:pt idx="168">
                  <c:v>1.2113915292816619</c:v>
                </c:pt>
                <c:pt idx="169">
                  <c:v>1.2084812739531869</c:v>
                </c:pt>
                <c:pt idx="170">
                  <c:v>1.2055745186388973</c:v>
                </c:pt>
                <c:pt idx="171">
                  <c:v>1.2026712633387939</c:v>
                </c:pt>
                <c:pt idx="172">
                  <c:v>1.1997715080528764</c:v>
                </c:pt>
                <c:pt idx="173">
                  <c:v>1.1968752527811448</c:v>
                </c:pt>
                <c:pt idx="174">
                  <c:v>1.1939824975235991</c:v>
                </c:pt>
                <c:pt idx="175">
                  <c:v>1.1910932422802396</c:v>
                </c:pt>
                <c:pt idx="176">
                  <c:v>1.1882074870510655</c:v>
                </c:pt>
                <c:pt idx="177">
                  <c:v>1.1853252318360779</c:v>
                </c:pt>
                <c:pt idx="178">
                  <c:v>1.1824464766352756</c:v>
                </c:pt>
                <c:pt idx="179">
                  <c:v>1.1795712214486596</c:v>
                </c:pt>
                <c:pt idx="180">
                  <c:v>1.1766994662762293</c:v>
                </c:pt>
                <c:pt idx="181">
                  <c:v>1.1738312111179852</c:v>
                </c:pt>
                <c:pt idx="182">
                  <c:v>1.1709664559739268</c:v>
                </c:pt>
                <c:pt idx="183">
                  <c:v>1.1681052008440547</c:v>
                </c:pt>
                <c:pt idx="184">
                  <c:v>1.1652474457283679</c:v>
                </c:pt>
                <c:pt idx="185">
                  <c:v>1.1623931906268676</c:v>
                </c:pt>
                <c:pt idx="186">
                  <c:v>1.1595424355395527</c:v>
                </c:pt>
                <c:pt idx="187">
                  <c:v>1.1566951804664241</c:v>
                </c:pt>
                <c:pt idx="188">
                  <c:v>1.1538514254074812</c:v>
                </c:pt>
                <c:pt idx="189">
                  <c:v>1.1510111703627244</c:v>
                </c:pt>
                <c:pt idx="190">
                  <c:v>1.1481744153321534</c:v>
                </c:pt>
                <c:pt idx="191">
                  <c:v>1.1453411603157686</c:v>
                </c:pt>
                <c:pt idx="192">
                  <c:v>1.1425114053135692</c:v>
                </c:pt>
                <c:pt idx="193">
                  <c:v>1.1396851503255563</c:v>
                </c:pt>
                <c:pt idx="194">
                  <c:v>1.1368623953517287</c:v>
                </c:pt>
                <c:pt idx="195">
                  <c:v>1.1340431403920874</c:v>
                </c:pt>
                <c:pt idx="196">
                  <c:v>1.1312273854466319</c:v>
                </c:pt>
                <c:pt idx="197">
                  <c:v>1.1284151305153625</c:v>
                </c:pt>
                <c:pt idx="198">
                  <c:v>1.1256063755982788</c:v>
                </c:pt>
                <c:pt idx="199">
                  <c:v>1.1228011206953814</c:v>
                </c:pt>
                <c:pt idx="200">
                  <c:v>1.1199993658066694</c:v>
                </c:pt>
                <c:pt idx="201">
                  <c:v>1.1172011109321436</c:v>
                </c:pt>
                <c:pt idx="202">
                  <c:v>1.1144063560718036</c:v>
                </c:pt>
                <c:pt idx="203">
                  <c:v>1.1116151012256497</c:v>
                </c:pt>
                <c:pt idx="204">
                  <c:v>1.1088273463936815</c:v>
                </c:pt>
                <c:pt idx="205">
                  <c:v>1.1060430915758994</c:v>
                </c:pt>
                <c:pt idx="206">
                  <c:v>1.1032623367723031</c:v>
                </c:pt>
                <c:pt idx="207">
                  <c:v>1.1004850819828929</c:v>
                </c:pt>
                <c:pt idx="208">
                  <c:v>1.0977113272076684</c:v>
                </c:pt>
                <c:pt idx="209">
                  <c:v>1.09494107244663</c:v>
                </c:pt>
                <c:pt idx="210">
                  <c:v>1.0921743176997774</c:v>
                </c:pt>
                <c:pt idx="211">
                  <c:v>1.0894110629671108</c:v>
                </c:pt>
                <c:pt idx="212">
                  <c:v>1.08665130824863</c:v>
                </c:pt>
                <c:pt idx="213">
                  <c:v>1.0838950535443352</c:v>
                </c:pt>
                <c:pt idx="214">
                  <c:v>1.0811422988542263</c:v>
                </c:pt>
                <c:pt idx="215">
                  <c:v>1.0783930441783034</c:v>
                </c:pt>
                <c:pt idx="216">
                  <c:v>1.0756472895165663</c:v>
                </c:pt>
                <c:pt idx="217">
                  <c:v>1.0729050348690152</c:v>
                </c:pt>
                <c:pt idx="218">
                  <c:v>1.07016628023565</c:v>
                </c:pt>
                <c:pt idx="219">
                  <c:v>1.0674310256164707</c:v>
                </c:pt>
                <c:pt idx="220">
                  <c:v>1.0646992710114773</c:v>
                </c:pt>
                <c:pt idx="221">
                  <c:v>1.0619710164206699</c:v>
                </c:pt>
                <c:pt idx="222">
                  <c:v>1.0592462618440484</c:v>
                </c:pt>
                <c:pt idx="223">
                  <c:v>1.0565250072816128</c:v>
                </c:pt>
                <c:pt idx="224">
                  <c:v>1.0538072527333631</c:v>
                </c:pt>
                <c:pt idx="225">
                  <c:v>1.0510929981992994</c:v>
                </c:pt>
                <c:pt idx="226">
                  <c:v>1.0483822436794215</c:v>
                </c:pt>
                <c:pt idx="227">
                  <c:v>1.0456749891737296</c:v>
                </c:pt>
                <c:pt idx="228">
                  <c:v>1.0429712346822235</c:v>
                </c:pt>
                <c:pt idx="229">
                  <c:v>1.0402709802049035</c:v>
                </c:pt>
                <c:pt idx="230">
                  <c:v>1.0375742257417693</c:v>
                </c:pt>
                <c:pt idx="231">
                  <c:v>1.0348809712928211</c:v>
                </c:pt>
                <c:pt idx="232">
                  <c:v>1.0321912168580587</c:v>
                </c:pt>
                <c:pt idx="233">
                  <c:v>1.0295049624374824</c:v>
                </c:pt>
                <c:pt idx="234">
                  <c:v>1.0268222080310918</c:v>
                </c:pt>
                <c:pt idx="235">
                  <c:v>1.0241429536388873</c:v>
                </c:pt>
                <c:pt idx="236">
                  <c:v>1.0214671992608686</c:v>
                </c:pt>
                <c:pt idx="237">
                  <c:v>1.0187949448970359</c:v>
                </c:pt>
                <c:pt idx="238">
                  <c:v>1.0161261905473891</c:v>
                </c:pt>
                <c:pt idx="239">
                  <c:v>1.0134609362119282</c:v>
                </c:pt>
                <c:pt idx="240">
                  <c:v>1.0107991818906532</c:v>
                </c:pt>
                <c:pt idx="241">
                  <c:v>1.0081409275835642</c:v>
                </c:pt>
                <c:pt idx="242">
                  <c:v>1.005486173290661</c:v>
                </c:pt>
                <c:pt idx="243">
                  <c:v>1.0028349190119439</c:v>
                </c:pt>
                <c:pt idx="244">
                  <c:v>1.0001871647474125</c:v>
                </c:pt>
                <c:pt idx="245">
                  <c:v>0.99754291049706723</c:v>
                </c:pt>
                <c:pt idx="246">
                  <c:v>0.99490215626090772</c:v>
                </c:pt>
                <c:pt idx="247">
                  <c:v>0.99226490203893425</c:v>
                </c:pt>
                <c:pt idx="248">
                  <c:v>0.98963114783114658</c:v>
                </c:pt>
                <c:pt idx="249">
                  <c:v>0.98700089363754495</c:v>
                </c:pt>
                <c:pt idx="250">
                  <c:v>0.98437413945812913</c:v>
                </c:pt>
                <c:pt idx="251">
                  <c:v>0.98175092435627653</c:v>
                </c:pt>
                <c:pt idx="252">
                  <c:v>0.9791312091643023</c:v>
                </c:pt>
                <c:pt idx="253">
                  <c:v>0.97651499388220642</c:v>
                </c:pt>
                <c:pt idx="254">
                  <c:v>0.97390227850998889</c:v>
                </c:pt>
                <c:pt idx="255">
                  <c:v>0.97129306304764973</c:v>
                </c:pt>
                <c:pt idx="256">
                  <c:v>0.96868734749518892</c:v>
                </c:pt>
                <c:pt idx="257">
                  <c:v>0.96608513185260647</c:v>
                </c:pt>
                <c:pt idx="258">
                  <c:v>0.96348641611990238</c:v>
                </c:pt>
                <c:pt idx="259">
                  <c:v>0.96089120029707664</c:v>
                </c:pt>
                <c:pt idx="260">
                  <c:v>0.95829948438412926</c:v>
                </c:pt>
                <c:pt idx="261">
                  <c:v>0.95571126838106024</c:v>
                </c:pt>
                <c:pt idx="262">
                  <c:v>0.95312655228786958</c:v>
                </c:pt>
                <c:pt idx="263">
                  <c:v>0.95054533610455727</c:v>
                </c:pt>
                <c:pt idx="264">
                  <c:v>0.94796761983112332</c:v>
                </c:pt>
                <c:pt idx="265">
                  <c:v>0.94539340346756773</c:v>
                </c:pt>
                <c:pt idx="266">
                  <c:v>0.94282268701389049</c:v>
                </c:pt>
                <c:pt idx="267">
                  <c:v>0.94025547047009161</c:v>
                </c:pt>
                <c:pt idx="268">
                  <c:v>0.93769175383617109</c:v>
                </c:pt>
                <c:pt idx="269">
                  <c:v>0.93513153711212893</c:v>
                </c:pt>
                <c:pt idx="270">
                  <c:v>0.93257482029796512</c:v>
                </c:pt>
                <c:pt idx="271">
                  <c:v>0.93002160339367967</c:v>
                </c:pt>
                <c:pt idx="272">
                  <c:v>0.92747188639927258</c:v>
                </c:pt>
                <c:pt idx="273">
                  <c:v>0.92492566931474385</c:v>
                </c:pt>
                <c:pt idx="274">
                  <c:v>0.92238295214009347</c:v>
                </c:pt>
                <c:pt idx="275">
                  <c:v>0.91984373487532145</c:v>
                </c:pt>
                <c:pt idx="276">
                  <c:v>0.91730801752042779</c:v>
                </c:pt>
                <c:pt idx="277">
                  <c:v>0.91477580007541248</c:v>
                </c:pt>
                <c:pt idx="278">
                  <c:v>0.91224708254027553</c:v>
                </c:pt>
                <c:pt idx="279">
                  <c:v>0.90972186491501694</c:v>
                </c:pt>
                <c:pt idx="280">
                  <c:v>0.90720014719963671</c:v>
                </c:pt>
                <c:pt idx="281">
                  <c:v>0.90468192939413483</c:v>
                </c:pt>
                <c:pt idx="282">
                  <c:v>0.90216721149851131</c:v>
                </c:pt>
                <c:pt idx="283">
                  <c:v>0.89965599351276615</c:v>
                </c:pt>
                <c:pt idx="284">
                  <c:v>0.89714827543689935</c:v>
                </c:pt>
                <c:pt idx="285">
                  <c:v>0.8946440572709109</c:v>
                </c:pt>
                <c:pt idx="286">
                  <c:v>0.89214333901480081</c:v>
                </c:pt>
                <c:pt idx="287">
                  <c:v>0.88964612066856907</c:v>
                </c:pt>
                <c:pt idx="288">
                  <c:v>0.8871524022322157</c:v>
                </c:pt>
                <c:pt idx="289">
                  <c:v>0.88466218370574068</c:v>
                </c:pt>
                <c:pt idx="290">
                  <c:v>0.88217546508914402</c:v>
                </c:pt>
                <c:pt idx="291">
                  <c:v>0.87969224638242571</c:v>
                </c:pt>
                <c:pt idx="292">
                  <c:v>0.87721252758558577</c:v>
                </c:pt>
                <c:pt idx="293">
                  <c:v>0.87473630869862418</c:v>
                </c:pt>
                <c:pt idx="294">
                  <c:v>0.87226358972154094</c:v>
                </c:pt>
                <c:pt idx="295">
                  <c:v>0.86979437065433607</c:v>
                </c:pt>
                <c:pt idx="296">
                  <c:v>0.86732865149700955</c:v>
                </c:pt>
                <c:pt idx="297">
                  <c:v>0.86486643224956139</c:v>
                </c:pt>
                <c:pt idx="298">
                  <c:v>0.86240771291199159</c:v>
                </c:pt>
                <c:pt idx="299">
                  <c:v>0.85995249348430014</c:v>
                </c:pt>
                <c:pt idx="300">
                  <c:v>0.85750077396648705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D7-43A7-87C4-16DC9C8DD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340976"/>
        <c:axId val="433338352"/>
      </c:lineChart>
      <c:catAx>
        <c:axId val="512257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/>
                  <a:t>Teletrabajo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2257512"/>
        <c:crosses val="autoZero"/>
        <c:auto val="1"/>
        <c:lblAlgn val="ctr"/>
        <c:lblOffset val="100"/>
        <c:tickLblSkip val="100"/>
        <c:tickMarkSkip val="10"/>
        <c:noMultiLvlLbl val="0"/>
      </c:catAx>
      <c:valAx>
        <c:axId val="512257512"/>
        <c:scaling>
          <c:orientation val="minMax"/>
          <c:max val="1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2257184"/>
        <c:crosses val="autoZero"/>
        <c:crossBetween val="midCat"/>
        <c:majorUnit val="200"/>
        <c:minorUnit val="200"/>
      </c:valAx>
      <c:valAx>
        <c:axId val="433338352"/>
        <c:scaling>
          <c:orientation val="minMax"/>
          <c:max val="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3340976"/>
        <c:crosses val="max"/>
        <c:crossBetween val="between"/>
        <c:majorUnit val="1"/>
        <c:minorUnit val="1"/>
      </c:valAx>
      <c:catAx>
        <c:axId val="433340976"/>
        <c:scaling>
          <c:orientation val="minMax"/>
        </c:scaling>
        <c:delete val="1"/>
        <c:axPos val="b"/>
        <c:numFmt formatCode="0.0%" sourceLinked="1"/>
        <c:majorTickMark val="out"/>
        <c:minorTickMark val="none"/>
        <c:tickLblPos val="nextTo"/>
        <c:crossAx val="433338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3</xdr:col>
      <xdr:colOff>358588</xdr:colOff>
      <xdr:row>32</xdr:row>
      <xdr:rowOff>78441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D0AA501-7A1C-4F49-88CD-727D86928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3</xdr:col>
      <xdr:colOff>268941</xdr:colOff>
      <xdr:row>61</xdr:row>
      <xdr:rowOff>89647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DD7F99-C110-4F10-ADD2-2583DFB9FF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3048000</xdr:colOff>
      <xdr:row>1</xdr:row>
      <xdr:rowOff>246529</xdr:rowOff>
    </xdr:from>
    <xdr:ext cx="184731" cy="264560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C3F7EC3E-BF34-4540-80BC-5E09C25B64B1}"/>
            </a:ext>
          </a:extLst>
        </xdr:cNvPr>
        <xdr:cNvSpPr txBox="1"/>
      </xdr:nvSpPr>
      <xdr:spPr>
        <a:xfrm>
          <a:off x="7530353" y="4370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0.09542</cdr:x>
      <cdr:y>0.19349</cdr:y>
    </cdr:from>
    <cdr:to>
      <cdr:x>0.26594</cdr:x>
      <cdr:y>0.2829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9211ABDE-2040-4157-AD31-5A9D447CF0E4}"/>
            </a:ext>
          </a:extLst>
        </cdr:cNvPr>
        <cdr:cNvSpPr txBox="1"/>
      </cdr:nvSpPr>
      <cdr:spPr>
        <a:xfrm xmlns:a="http://schemas.openxmlformats.org/drawingml/2006/main">
          <a:off x="547478" y="862952"/>
          <a:ext cx="978344" cy="3987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indent="0" algn="ctr"/>
          <a:r>
            <a:rPr lang="es-ES" sz="1100" b="1">
              <a:latin typeface="+mn-lt"/>
              <a:ea typeface="+mn-ea"/>
              <a:cs typeface="+mn-cs"/>
            </a:rPr>
            <a:t>Teletrabajo</a:t>
          </a:r>
          <a:endParaRPr lang="es-ES" sz="1100"/>
        </a:p>
      </cdr:txBody>
    </cdr:sp>
  </cdr:relSizeAnchor>
  <cdr:relSizeAnchor xmlns:cdr="http://schemas.openxmlformats.org/drawingml/2006/chartDrawing">
    <cdr:from>
      <cdr:x>0.09713</cdr:x>
      <cdr:y>0.23154</cdr:y>
    </cdr:from>
    <cdr:to>
      <cdr:x>0.26832</cdr:x>
      <cdr:y>0.35029</cdr:y>
    </cdr:to>
    <cdr:sp macro="" textlink="">
      <cdr:nvSpPr>
        <cdr:cNvPr id="3" name="CuadroTexto 1">
          <a:extLst xmlns:a="http://schemas.openxmlformats.org/drawingml/2006/main">
            <a:ext uri="{FF2B5EF4-FFF2-40B4-BE49-F238E27FC236}">
              <a16:creationId xmlns:a16="http://schemas.microsoft.com/office/drawing/2014/main" id="{8DA907B6-FFA3-4F29-BCC9-03E1F88A465C}"/>
            </a:ext>
          </a:extLst>
        </cdr:cNvPr>
        <cdr:cNvSpPr txBox="1"/>
      </cdr:nvSpPr>
      <cdr:spPr>
        <a:xfrm xmlns:a="http://schemas.openxmlformats.org/drawingml/2006/main">
          <a:off x="557272" y="1032663"/>
          <a:ext cx="982188" cy="5295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ES" sz="1800" b="1"/>
            <a:t>5%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AA990-3998-4FBD-B4CE-442E1FF35B7C}">
  <sheetPr codeName="Hoja1"/>
  <dimension ref="A1:Q468"/>
  <sheetViews>
    <sheetView tabSelected="1" zoomScale="85" zoomScaleNormal="85" workbookViewId="0"/>
  </sheetViews>
  <sheetFormatPr baseColWidth="10" defaultRowHeight="15" x14ac:dyDescent="0.25"/>
  <cols>
    <col min="1" max="1" width="58.85546875" style="2" customWidth="1"/>
    <col min="2" max="3" width="11" customWidth="1"/>
    <col min="4" max="4" width="8.85546875" customWidth="1"/>
    <col min="5" max="5" width="12" style="1" customWidth="1"/>
    <col min="10" max="10" width="3.7109375" customWidth="1"/>
    <col min="11" max="11" width="8.85546875" customWidth="1"/>
    <col min="16" max="16" width="3.7109375" customWidth="1"/>
  </cols>
  <sheetData>
    <row r="1" spans="1:17" ht="61.5" x14ac:dyDescent="0.35">
      <c r="D1" s="15" t="s">
        <v>12</v>
      </c>
      <c r="E1" s="6" t="s">
        <v>2</v>
      </c>
      <c r="F1" s="6" t="s">
        <v>3</v>
      </c>
      <c r="G1" s="6" t="s">
        <v>9</v>
      </c>
      <c r="H1" s="24" t="s">
        <v>10</v>
      </c>
      <c r="I1" s="7" t="s">
        <v>5</v>
      </c>
      <c r="K1" s="15" t="s">
        <v>16</v>
      </c>
      <c r="L1" s="7" t="s">
        <v>13</v>
      </c>
      <c r="M1" s="7" t="s">
        <v>8</v>
      </c>
      <c r="N1" s="7" t="s">
        <v>6</v>
      </c>
      <c r="O1" s="6" t="s">
        <v>4</v>
      </c>
      <c r="Q1" s="35" t="s">
        <v>19</v>
      </c>
    </row>
    <row r="2" spans="1:17" x14ac:dyDescent="0.25">
      <c r="A2" s="3" t="s">
        <v>15</v>
      </c>
      <c r="B2" s="28">
        <v>0.05</v>
      </c>
      <c r="D2" s="4">
        <v>0</v>
      </c>
      <c r="E2" s="10">
        <f t="shared" ref="E2:E33" si="0">$B$3-F2</f>
        <v>999</v>
      </c>
      <c r="F2" s="10">
        <f>$B$4</f>
        <v>1</v>
      </c>
      <c r="G2" s="10">
        <f>F2-H2</f>
        <v>1</v>
      </c>
      <c r="H2" s="11">
        <v>0</v>
      </c>
      <c r="I2" s="30">
        <f t="shared" ref="I2:I33" si="1">G2/(E2+G2)</f>
        <v>1E-3</v>
      </c>
      <c r="L2" s="17">
        <f t="shared" ref="L2:L33" si="2">$B$5*(1-B$2)*((1-H2/$B$3)*(1-$B$6)+$B$6)</f>
        <v>23.75</v>
      </c>
      <c r="M2" s="17">
        <f>I2*L2</f>
        <v>2.375E-2</v>
      </c>
      <c r="N2" s="17">
        <f t="shared" ref="N2:N33" si="3">1-(1-$B$7)^M2</f>
        <v>2.3866699102192968E-4</v>
      </c>
      <c r="O2" s="25">
        <f t="shared" ref="O2:O33" si="4">E2*(1-B$2)*N2</f>
        <v>0.22650690782936234</v>
      </c>
      <c r="Q2" s="37">
        <f>(1-B2)*(B5*(1-B2))*B7*B8</f>
        <v>1.579375</v>
      </c>
    </row>
    <row r="3" spans="1:17" x14ac:dyDescent="0.25">
      <c r="A3" s="3" t="s">
        <v>0</v>
      </c>
      <c r="B3" s="27">
        <v>1000</v>
      </c>
      <c r="D3" s="4">
        <v>1</v>
      </c>
      <c r="E3" s="12">
        <f t="shared" si="0"/>
        <v>998.77349309217061</v>
      </c>
      <c r="F3" s="12">
        <f t="shared" ref="F3:F34" si="5">F2+O2</f>
        <v>1.2265069078293624</v>
      </c>
      <c r="G3" s="12">
        <f t="shared" ref="G3:G66" si="6">F3-H3</f>
        <v>1.2265069078293624</v>
      </c>
      <c r="H3" s="8">
        <v>0</v>
      </c>
      <c r="I3" s="21">
        <f t="shared" si="1"/>
        <v>1.2265069078293625E-3</v>
      </c>
      <c r="L3" s="18">
        <f t="shared" si="2"/>
        <v>23.75</v>
      </c>
      <c r="M3" s="18">
        <f t="shared" ref="M3:M66" si="7">I3*L3</f>
        <v>2.9129539060947361E-2</v>
      </c>
      <c r="N3" s="18">
        <f t="shared" si="3"/>
        <v>2.9271880030989905E-4</v>
      </c>
      <c r="O3" s="18">
        <f t="shared" si="4"/>
        <v>0.27774178974530406</v>
      </c>
    </row>
    <row r="4" spans="1:17" x14ac:dyDescent="0.25">
      <c r="A4" s="3" t="s">
        <v>14</v>
      </c>
      <c r="B4" s="29">
        <v>1</v>
      </c>
      <c r="D4">
        <v>2</v>
      </c>
      <c r="E4" s="13">
        <f t="shared" si="0"/>
        <v>998.49575130242533</v>
      </c>
      <c r="F4" s="13">
        <f t="shared" si="5"/>
        <v>1.5042486975746665</v>
      </c>
      <c r="G4" s="13">
        <f t="shared" si="6"/>
        <v>1.5042486975746665</v>
      </c>
      <c r="H4" s="9">
        <v>0</v>
      </c>
      <c r="I4" s="22">
        <f t="shared" si="1"/>
        <v>1.5042486975746666E-3</v>
      </c>
      <c r="L4" s="19">
        <f t="shared" si="2"/>
        <v>23.75</v>
      </c>
      <c r="M4" s="19">
        <f t="shared" si="7"/>
        <v>3.5725906567398331E-2</v>
      </c>
      <c r="N4" s="19">
        <f t="shared" si="3"/>
        <v>3.5899290629382019E-4</v>
      </c>
      <c r="O4" s="19">
        <f t="shared" si="4"/>
        <v>0.34053024709798468</v>
      </c>
    </row>
    <row r="5" spans="1:17" x14ac:dyDescent="0.25">
      <c r="A5" s="3" t="s">
        <v>1</v>
      </c>
      <c r="B5" s="29">
        <v>25</v>
      </c>
      <c r="D5">
        <v>3</v>
      </c>
      <c r="E5" s="13">
        <f t="shared" si="0"/>
        <v>998.15522105532739</v>
      </c>
      <c r="F5" s="13">
        <f t="shared" si="5"/>
        <v>1.8447789446726512</v>
      </c>
      <c r="G5" s="13">
        <f t="shared" si="6"/>
        <v>1.8447789446726512</v>
      </c>
      <c r="H5" s="9">
        <v>0</v>
      </c>
      <c r="I5" s="22">
        <f t="shared" si="1"/>
        <v>1.8447789446726513E-3</v>
      </c>
      <c r="L5" s="19">
        <f t="shared" si="2"/>
        <v>23.75</v>
      </c>
      <c r="M5" s="19">
        <f t="shared" si="7"/>
        <v>4.381349993597547E-2</v>
      </c>
      <c r="N5" s="19">
        <f t="shared" si="3"/>
        <v>4.4024345367343898E-4</v>
      </c>
      <c r="O5" s="19">
        <f t="shared" si="4"/>
        <v>0.4174597367285936</v>
      </c>
    </row>
    <row r="6" spans="1:17" x14ac:dyDescent="0.25">
      <c r="A6" s="3" t="s">
        <v>17</v>
      </c>
      <c r="B6" s="28">
        <v>0.5</v>
      </c>
      <c r="D6">
        <v>4</v>
      </c>
      <c r="E6" s="13">
        <f t="shared" si="0"/>
        <v>997.7377613185987</v>
      </c>
      <c r="F6" s="13">
        <f t="shared" si="5"/>
        <v>2.2622386814012447</v>
      </c>
      <c r="G6" s="13">
        <f t="shared" si="6"/>
        <v>2.2622386814012447</v>
      </c>
      <c r="H6" s="9">
        <v>0</v>
      </c>
      <c r="I6" s="22">
        <f t="shared" si="1"/>
        <v>2.2622386814012446E-3</v>
      </c>
      <c r="L6" s="19">
        <f t="shared" si="2"/>
        <v>23.75</v>
      </c>
      <c r="M6" s="19">
        <f t="shared" si="7"/>
        <v>5.3728168683279558E-2</v>
      </c>
      <c r="N6" s="19">
        <f t="shared" si="3"/>
        <v>5.3984037378329575E-4</v>
      </c>
      <c r="O6" s="19">
        <f t="shared" si="4"/>
        <v>0.51168816970754394</v>
      </c>
    </row>
    <row r="7" spans="1:17" x14ac:dyDescent="0.25">
      <c r="A7" s="3" t="s">
        <v>7</v>
      </c>
      <c r="B7" s="33">
        <v>0.01</v>
      </c>
      <c r="D7">
        <v>5</v>
      </c>
      <c r="E7" s="13">
        <f t="shared" si="0"/>
        <v>997.22607314889126</v>
      </c>
      <c r="F7" s="13">
        <f t="shared" si="5"/>
        <v>2.7739268511087887</v>
      </c>
      <c r="G7" s="13">
        <f t="shared" si="6"/>
        <v>2.7739268511087887</v>
      </c>
      <c r="H7" s="9">
        <v>0</v>
      </c>
      <c r="I7" s="22">
        <f t="shared" si="1"/>
        <v>2.7739268511087888E-3</v>
      </c>
      <c r="L7" s="19">
        <f t="shared" si="2"/>
        <v>23.75</v>
      </c>
      <c r="M7" s="19">
        <f t="shared" si="7"/>
        <v>6.5880762713833738E-2</v>
      </c>
      <c r="N7" s="19">
        <f t="shared" si="3"/>
        <v>6.6190463597326499E-4</v>
      </c>
      <c r="O7" s="19">
        <f t="shared" si="4"/>
        <v>0.62706513288413213</v>
      </c>
    </row>
    <row r="8" spans="1:17" x14ac:dyDescent="0.25">
      <c r="A8" s="3" t="s">
        <v>11</v>
      </c>
      <c r="B8" s="16">
        <v>7</v>
      </c>
      <c r="D8">
        <v>6</v>
      </c>
      <c r="E8" s="13">
        <f t="shared" si="0"/>
        <v>996.59900801600713</v>
      </c>
      <c r="F8" s="13">
        <f t="shared" si="5"/>
        <v>3.4009919839929208</v>
      </c>
      <c r="G8" s="13">
        <f t="shared" si="6"/>
        <v>3.4009919839929208</v>
      </c>
      <c r="H8" s="9">
        <v>0</v>
      </c>
      <c r="I8" s="22">
        <f t="shared" si="1"/>
        <v>3.4009919839929209E-3</v>
      </c>
      <c r="L8" s="19">
        <f t="shared" si="2"/>
        <v>23.75</v>
      </c>
      <c r="M8" s="19">
        <f t="shared" si="7"/>
        <v>8.0773559619831875E-2</v>
      </c>
      <c r="N8" s="19">
        <f t="shared" si="3"/>
        <v>8.1147198065145698E-4</v>
      </c>
      <c r="O8" s="19">
        <f t="shared" si="4"/>
        <v>0.76827656240252518</v>
      </c>
    </row>
    <row r="9" spans="1:17" x14ac:dyDescent="0.25">
      <c r="D9">
        <v>7</v>
      </c>
      <c r="E9" s="13">
        <f t="shared" si="0"/>
        <v>995.83073145360459</v>
      </c>
      <c r="F9" s="13">
        <f t="shared" si="5"/>
        <v>4.169268546395446</v>
      </c>
      <c r="G9" s="13">
        <f t="shared" si="6"/>
        <v>3.169268546395446</v>
      </c>
      <c r="H9" s="5">
        <f>$B$4</f>
        <v>1</v>
      </c>
      <c r="I9" s="22">
        <f t="shared" si="1"/>
        <v>3.1724409873828286E-3</v>
      </c>
      <c r="L9" s="19">
        <f t="shared" si="2"/>
        <v>23.738125</v>
      </c>
      <c r="M9" s="19">
        <f t="shared" si="7"/>
        <v>7.5307800713617007E-2</v>
      </c>
      <c r="N9" s="19">
        <f t="shared" si="3"/>
        <v>7.5658233670217179E-4</v>
      </c>
      <c r="O9" s="19">
        <f t="shared" si="4"/>
        <v>0.71575654467485106</v>
      </c>
    </row>
    <row r="10" spans="1:17" x14ac:dyDescent="0.25">
      <c r="A10"/>
      <c r="D10">
        <v>8</v>
      </c>
      <c r="E10" s="13">
        <f t="shared" si="0"/>
        <v>995.11497490892975</v>
      </c>
      <c r="F10" s="13">
        <f t="shared" si="5"/>
        <v>4.8850250910702968</v>
      </c>
      <c r="G10" s="13">
        <f t="shared" si="6"/>
        <v>3.6585181832409344</v>
      </c>
      <c r="H10" s="5">
        <f>H9+O2</f>
        <v>1.2265069078293624</v>
      </c>
      <c r="I10" s="22">
        <f t="shared" si="1"/>
        <v>3.6630108914026938E-3</v>
      </c>
      <c r="L10" s="19">
        <f t="shared" si="2"/>
        <v>23.735435230469527</v>
      </c>
      <c r="M10" s="19">
        <f t="shared" si="7"/>
        <v>8.6943157761393081E-2</v>
      </c>
      <c r="N10" s="19">
        <f t="shared" si="3"/>
        <v>8.7342627668540729E-4</v>
      </c>
      <c r="O10" s="19">
        <f t="shared" si="4"/>
        <v>0.82570158903816904</v>
      </c>
    </row>
    <row r="11" spans="1:17" x14ac:dyDescent="0.25">
      <c r="A11"/>
      <c r="D11">
        <v>9</v>
      </c>
      <c r="E11" s="13">
        <f t="shared" si="0"/>
        <v>994.28927331989155</v>
      </c>
      <c r="F11" s="13">
        <f t="shared" si="5"/>
        <v>5.7107266801084657</v>
      </c>
      <c r="G11" s="13">
        <f t="shared" si="6"/>
        <v>4.2064779825337997</v>
      </c>
      <c r="H11" s="5">
        <f t="shared" ref="H11:H66" si="8">H10+O3</f>
        <v>1.5042486975746665</v>
      </c>
      <c r="I11" s="22">
        <f t="shared" si="1"/>
        <v>4.2128151041673665E-3</v>
      </c>
      <c r="L11" s="19">
        <f t="shared" si="2"/>
        <v>23.7321370467163</v>
      </c>
      <c r="M11" s="19">
        <f t="shared" si="7"/>
        <v>9.9979105404576343E-2</v>
      </c>
      <c r="N11" s="19">
        <f t="shared" si="3"/>
        <v>1.0043189214751225E-3</v>
      </c>
      <c r="O11" s="19">
        <f t="shared" si="4"/>
        <v>0.94865435408417087</v>
      </c>
    </row>
    <row r="12" spans="1:17" x14ac:dyDescent="0.25">
      <c r="A12"/>
      <c r="D12">
        <v>10</v>
      </c>
      <c r="E12" s="13">
        <f t="shared" si="0"/>
        <v>993.34061896580738</v>
      </c>
      <c r="F12" s="13">
        <f t="shared" si="5"/>
        <v>6.6593810341926369</v>
      </c>
      <c r="G12" s="13">
        <f t="shared" si="6"/>
        <v>4.8146020895199859</v>
      </c>
      <c r="H12" s="5">
        <f t="shared" si="8"/>
        <v>1.8447789446726512</v>
      </c>
      <c r="I12" s="22">
        <f t="shared" si="1"/>
        <v>4.8235003814633302E-3</v>
      </c>
      <c r="L12" s="19">
        <f t="shared" si="2"/>
        <v>23.728093250032014</v>
      </c>
      <c r="M12" s="19">
        <f t="shared" si="7"/>
        <v>0.11445246684292688</v>
      </c>
      <c r="N12" s="19">
        <f t="shared" si="3"/>
        <v>1.149624405996863E-3</v>
      </c>
      <c r="O12" s="19">
        <f t="shared" si="4"/>
        <v>1.0848701880795664</v>
      </c>
    </row>
    <row r="13" spans="1:17" x14ac:dyDescent="0.25">
      <c r="A13"/>
      <c r="D13">
        <v>11</v>
      </c>
      <c r="E13" s="13">
        <f t="shared" si="0"/>
        <v>992.25574877772783</v>
      </c>
      <c r="F13" s="13">
        <f t="shared" si="5"/>
        <v>7.7442512222722035</v>
      </c>
      <c r="G13" s="13">
        <f t="shared" si="6"/>
        <v>5.4820125408709588</v>
      </c>
      <c r="H13" s="5">
        <f t="shared" si="8"/>
        <v>2.2622386814012447</v>
      </c>
      <c r="I13" s="22">
        <f t="shared" si="1"/>
        <v>5.4944422807311549E-3</v>
      </c>
      <c r="L13" s="19">
        <f t="shared" si="2"/>
        <v>23.723135915658361</v>
      </c>
      <c r="M13" s="19">
        <f t="shared" si="7"/>
        <v>0.13034540100652509</v>
      </c>
      <c r="N13" s="19">
        <f t="shared" si="3"/>
        <v>1.3091573619220531E-3</v>
      </c>
      <c r="O13" s="19">
        <f t="shared" si="4"/>
        <v>1.2340679725007495</v>
      </c>
    </row>
    <row r="14" spans="1:17" x14ac:dyDescent="0.25">
      <c r="A14"/>
      <c r="D14">
        <v>12</v>
      </c>
      <c r="E14" s="13">
        <f t="shared" si="0"/>
        <v>991.02168080522699</v>
      </c>
      <c r="F14" s="13">
        <f t="shared" si="5"/>
        <v>8.9783191947729524</v>
      </c>
      <c r="G14" s="13">
        <f t="shared" si="6"/>
        <v>6.2043923436641641</v>
      </c>
      <c r="H14" s="5">
        <f t="shared" si="8"/>
        <v>2.7739268511087887</v>
      </c>
      <c r="I14" s="22">
        <f t="shared" si="1"/>
        <v>6.2216507477315178E-3</v>
      </c>
      <c r="L14" s="19">
        <f t="shared" si="2"/>
        <v>23.717059618643084</v>
      </c>
      <c r="M14" s="19">
        <f t="shared" si="7"/>
        <v>0.14755926171032374</v>
      </c>
      <c r="N14" s="19">
        <f t="shared" si="3"/>
        <v>1.4819210075295297E-3</v>
      </c>
      <c r="O14" s="19">
        <f t="shared" si="4"/>
        <v>1.3951850553173655</v>
      </c>
    </row>
    <row r="15" spans="1:17" x14ac:dyDescent="0.25">
      <c r="D15">
        <v>13</v>
      </c>
      <c r="E15" s="13">
        <f t="shared" si="0"/>
        <v>989.62649574990974</v>
      </c>
      <c r="F15" s="13">
        <f t="shared" si="5"/>
        <v>10.373504250090317</v>
      </c>
      <c r="G15" s="13">
        <f t="shared" si="6"/>
        <v>6.9725122660973966</v>
      </c>
      <c r="H15" s="5">
        <f t="shared" si="8"/>
        <v>3.4009919839929208</v>
      </c>
      <c r="I15" s="22">
        <f t="shared" si="1"/>
        <v>6.9963066489279564E-3</v>
      </c>
      <c r="L15" s="19">
        <f t="shared" si="2"/>
        <v>23.709613220190086</v>
      </c>
      <c r="M15" s="19">
        <f t="shared" si="7"/>
        <v>0.16587972461592607</v>
      </c>
      <c r="N15" s="19">
        <f t="shared" si="3"/>
        <v>1.6657580261608684E-3</v>
      </c>
      <c r="O15" s="19">
        <f t="shared" si="4"/>
        <v>1.5660543642870233</v>
      </c>
    </row>
    <row r="16" spans="1:17" x14ac:dyDescent="0.25">
      <c r="D16">
        <v>14</v>
      </c>
      <c r="E16" s="13">
        <f t="shared" si="0"/>
        <v>988.06044138562265</v>
      </c>
      <c r="F16" s="13">
        <f t="shared" si="5"/>
        <v>11.93955861437734</v>
      </c>
      <c r="G16" s="13">
        <f t="shared" si="6"/>
        <v>7.770290067981894</v>
      </c>
      <c r="H16" s="5">
        <f t="shared" si="8"/>
        <v>4.169268546395446</v>
      </c>
      <c r="I16" s="22">
        <f t="shared" si="1"/>
        <v>7.8028221288568549E-3</v>
      </c>
      <c r="L16" s="19">
        <f t="shared" si="2"/>
        <v>23.700489936011554</v>
      </c>
      <c r="M16" s="19">
        <f t="shared" si="7"/>
        <v>0.18493070733746014</v>
      </c>
      <c r="N16" s="19">
        <f t="shared" si="3"/>
        <v>1.8568895617590009E-3</v>
      </c>
      <c r="O16" s="19">
        <f t="shared" si="4"/>
        <v>1.7429831639961562</v>
      </c>
    </row>
    <row r="17" spans="3:15" x14ac:dyDescent="0.25">
      <c r="D17">
        <v>15</v>
      </c>
      <c r="E17" s="13">
        <f t="shared" si="0"/>
        <v>986.31745822162645</v>
      </c>
      <c r="F17" s="13">
        <f t="shared" si="5"/>
        <v>13.682541778373496</v>
      </c>
      <c r="G17" s="13">
        <f t="shared" si="6"/>
        <v>8.7975166873031991</v>
      </c>
      <c r="H17" s="5">
        <f t="shared" si="8"/>
        <v>4.8850250910702968</v>
      </c>
      <c r="I17" s="22">
        <f t="shared" si="1"/>
        <v>8.840703746929671E-3</v>
      </c>
      <c r="L17" s="19">
        <f t="shared" si="2"/>
        <v>23.691990327043541</v>
      </c>
      <c r="M17" s="19">
        <f t="shared" si="7"/>
        <v>0.20945386765651536</v>
      </c>
      <c r="N17" s="19">
        <f t="shared" si="3"/>
        <v>2.1028675851622047E-3</v>
      </c>
      <c r="O17" s="19">
        <f t="shared" si="4"/>
        <v>1.9703902609951436</v>
      </c>
    </row>
    <row r="18" spans="3:15" x14ac:dyDescent="0.25">
      <c r="D18">
        <v>16</v>
      </c>
      <c r="E18" s="13">
        <f t="shared" si="0"/>
        <v>984.34706796063131</v>
      </c>
      <c r="F18" s="13">
        <f t="shared" si="5"/>
        <v>15.65293203936864</v>
      </c>
      <c r="G18" s="13">
        <f t="shared" si="6"/>
        <v>9.9422053592601749</v>
      </c>
      <c r="H18" s="5">
        <f t="shared" si="8"/>
        <v>5.7107266801084657</v>
      </c>
      <c r="I18" s="22">
        <f t="shared" si="1"/>
        <v>9.9993086781109044E-3</v>
      </c>
      <c r="L18" s="19">
        <f t="shared" si="2"/>
        <v>23.682185120673712</v>
      </c>
      <c r="M18" s="19">
        <f t="shared" si="7"/>
        <v>0.23680547919378159</v>
      </c>
      <c r="N18" s="19">
        <f t="shared" si="3"/>
        <v>2.3771447037741478E-3</v>
      </c>
      <c r="O18" s="19">
        <f t="shared" si="4"/>
        <v>2.2229386483143143</v>
      </c>
    </row>
    <row r="19" spans="3:15" x14ac:dyDescent="0.25">
      <c r="D19">
        <v>17</v>
      </c>
      <c r="E19" s="13">
        <f t="shared" si="0"/>
        <v>982.124129312317</v>
      </c>
      <c r="F19" s="13">
        <f t="shared" si="5"/>
        <v>17.875870687682955</v>
      </c>
      <c r="G19" s="13">
        <f t="shared" si="6"/>
        <v>11.216489653490317</v>
      </c>
      <c r="H19" s="5">
        <f t="shared" si="8"/>
        <v>6.6593810341926369</v>
      </c>
      <c r="I19" s="22">
        <f t="shared" si="1"/>
        <v>1.1291685288343586E-2</v>
      </c>
      <c r="L19" s="19">
        <f t="shared" si="2"/>
        <v>23.670919850218961</v>
      </c>
      <c r="M19" s="19">
        <f t="shared" si="7"/>
        <v>0.26728457743427764</v>
      </c>
      <c r="N19" s="19">
        <f t="shared" si="3"/>
        <v>2.6826948970911646E-3</v>
      </c>
      <c r="O19" s="19">
        <f t="shared" si="4"/>
        <v>2.5030024205154429</v>
      </c>
    </row>
    <row r="20" spans="3:15" x14ac:dyDescent="0.25">
      <c r="D20">
        <v>18</v>
      </c>
      <c r="E20" s="13">
        <f t="shared" si="0"/>
        <v>979.62112689180162</v>
      </c>
      <c r="F20" s="13">
        <f t="shared" si="5"/>
        <v>20.378873108198398</v>
      </c>
      <c r="G20" s="13">
        <f t="shared" si="6"/>
        <v>12.634621885926194</v>
      </c>
      <c r="H20" s="5">
        <f t="shared" si="8"/>
        <v>7.7442512222722035</v>
      </c>
      <c r="I20" s="22">
        <f t="shared" si="1"/>
        <v>1.2733231227422636E-2</v>
      </c>
      <c r="L20" s="19">
        <f t="shared" si="2"/>
        <v>23.65803701673552</v>
      </c>
      <c r="M20" s="19">
        <f t="shared" si="7"/>
        <v>0.3012432557210174</v>
      </c>
      <c r="N20" s="19">
        <f t="shared" si="3"/>
        <v>3.0230173469795174E-3</v>
      </c>
      <c r="O20" s="19">
        <f t="shared" si="4"/>
        <v>2.8133410770584621</v>
      </c>
    </row>
    <row r="21" spans="3:15" x14ac:dyDescent="0.25">
      <c r="D21">
        <v>19</v>
      </c>
      <c r="E21" s="13">
        <f t="shared" si="0"/>
        <v>976.80778581474317</v>
      </c>
      <c r="F21" s="13">
        <f t="shared" si="5"/>
        <v>23.192214185256859</v>
      </c>
      <c r="G21" s="13">
        <f t="shared" si="6"/>
        <v>14.213894990483906</v>
      </c>
      <c r="H21" s="5">
        <f t="shared" si="8"/>
        <v>8.9783191947729524</v>
      </c>
      <c r="I21" s="22">
        <f t="shared" si="1"/>
        <v>1.4342668042272093E-2</v>
      </c>
      <c r="L21" s="19">
        <f t="shared" si="2"/>
        <v>23.643382459562069</v>
      </c>
      <c r="M21" s="19">
        <f t="shared" si="7"/>
        <v>0.33910918601397744</v>
      </c>
      <c r="N21" s="19">
        <f t="shared" si="3"/>
        <v>3.4023600213636263E-3</v>
      </c>
      <c r="O21" s="19">
        <f t="shared" si="4"/>
        <v>3.1572791710621657</v>
      </c>
    </row>
    <row r="22" spans="3:15" x14ac:dyDescent="0.25">
      <c r="D22">
        <v>20</v>
      </c>
      <c r="E22" s="13">
        <f t="shared" si="0"/>
        <v>973.65050664368096</v>
      </c>
      <c r="F22" s="13">
        <f t="shared" si="5"/>
        <v>26.349493356319023</v>
      </c>
      <c r="G22" s="13">
        <f t="shared" si="6"/>
        <v>15.975989106228706</v>
      </c>
      <c r="H22" s="5">
        <f t="shared" si="8"/>
        <v>10.373504250090317</v>
      </c>
      <c r="I22" s="22">
        <f t="shared" si="1"/>
        <v>1.6143453287517907E-2</v>
      </c>
      <c r="L22" s="19">
        <f t="shared" si="2"/>
        <v>23.626814637030179</v>
      </c>
      <c r="M22" s="19">
        <f t="shared" si="7"/>
        <v>0.38141837842574106</v>
      </c>
      <c r="N22" s="19">
        <f t="shared" si="3"/>
        <v>3.8260447715062762E-3</v>
      </c>
      <c r="O22" s="19">
        <f t="shared" si="4"/>
        <v>3.5389689087075675</v>
      </c>
    </row>
    <row r="23" spans="3:15" x14ac:dyDescent="0.25">
      <c r="C23" s="26"/>
      <c r="D23">
        <v>21</v>
      </c>
      <c r="E23" s="13">
        <f t="shared" si="0"/>
        <v>970.11153773497335</v>
      </c>
      <c r="F23" s="13">
        <f t="shared" si="5"/>
        <v>29.88846226502659</v>
      </c>
      <c r="G23" s="13">
        <f t="shared" si="6"/>
        <v>17.94890365064925</v>
      </c>
      <c r="H23" s="5">
        <f t="shared" si="8"/>
        <v>11.93955861437734</v>
      </c>
      <c r="I23" s="22">
        <f t="shared" si="1"/>
        <v>1.8165795227545304E-2</v>
      </c>
      <c r="L23" s="19">
        <f t="shared" si="2"/>
        <v>23.608217741454268</v>
      </c>
      <c r="M23" s="19">
        <f t="shared" si="7"/>
        <v>0.4288620491785603</v>
      </c>
      <c r="N23" s="19">
        <f t="shared" si="3"/>
        <v>4.3009320155545927E-3</v>
      </c>
      <c r="O23" s="19">
        <f t="shared" si="4"/>
        <v>3.9637645827380816</v>
      </c>
    </row>
    <row r="24" spans="3:15" x14ac:dyDescent="0.25">
      <c r="D24">
        <v>22</v>
      </c>
      <c r="E24" s="13">
        <f t="shared" si="0"/>
        <v>966.14777315223535</v>
      </c>
      <c r="F24" s="13">
        <f t="shared" si="5"/>
        <v>33.852226847764669</v>
      </c>
      <c r="G24" s="13">
        <f t="shared" si="6"/>
        <v>20.169685069391171</v>
      </c>
      <c r="H24" s="5">
        <f t="shared" si="8"/>
        <v>13.682541778373496</v>
      </c>
      <c r="I24" s="22">
        <f t="shared" si="1"/>
        <v>2.0449486016153453E-2</v>
      </c>
      <c r="L24" s="19">
        <f t="shared" si="2"/>
        <v>23.587519816381814</v>
      </c>
      <c r="M24" s="19">
        <f t="shared" si="7"/>
        <v>0.48235265664084237</v>
      </c>
      <c r="N24" s="19">
        <f t="shared" si="3"/>
        <v>4.8360745518374326E-3</v>
      </c>
      <c r="O24" s="19">
        <f t="shared" si="4"/>
        <v>4.4387445261031333</v>
      </c>
    </row>
    <row r="25" spans="3:15" x14ac:dyDescent="0.25">
      <c r="D25">
        <v>23</v>
      </c>
      <c r="E25" s="13">
        <f t="shared" si="0"/>
        <v>961.70902862613218</v>
      </c>
      <c r="F25" s="13">
        <f t="shared" si="5"/>
        <v>38.290971373867805</v>
      </c>
      <c r="G25" s="13">
        <f t="shared" si="6"/>
        <v>22.638039334499165</v>
      </c>
      <c r="H25" s="5">
        <f t="shared" si="8"/>
        <v>15.65293203936864</v>
      </c>
      <c r="I25" s="22">
        <f t="shared" si="1"/>
        <v>2.2998025870489582E-2</v>
      </c>
      <c r="L25" s="19">
        <f t="shared" si="2"/>
        <v>23.564121432032497</v>
      </c>
      <c r="M25" s="19">
        <f t="shared" si="7"/>
        <v>0.5419282743092414</v>
      </c>
      <c r="N25" s="19">
        <f t="shared" si="3"/>
        <v>5.431755543157335E-3</v>
      </c>
      <c r="O25" s="19">
        <f t="shared" si="4"/>
        <v>4.9625799297872266</v>
      </c>
    </row>
    <row r="26" spans="3:15" x14ac:dyDescent="0.25">
      <c r="D26">
        <v>24</v>
      </c>
      <c r="E26" s="13">
        <f t="shared" si="0"/>
        <v>956.74644869634494</v>
      </c>
      <c r="F26" s="13">
        <f t="shared" si="5"/>
        <v>43.25355130365503</v>
      </c>
      <c r="G26" s="13">
        <f t="shared" si="6"/>
        <v>25.377680615972075</v>
      </c>
      <c r="H26" s="5">
        <f t="shared" si="8"/>
        <v>17.875870687682955</v>
      </c>
      <c r="I26" s="22">
        <f t="shared" si="1"/>
        <v>2.5839585708724536E-2</v>
      </c>
      <c r="L26" s="19">
        <f t="shared" si="2"/>
        <v>23.537724035583764</v>
      </c>
      <c r="M26" s="19">
        <f t="shared" si="7"/>
        <v>0.60820503760577227</v>
      </c>
      <c r="N26" s="19">
        <f t="shared" si="3"/>
        <v>6.0940205678517989E-3</v>
      </c>
      <c r="O26" s="19">
        <f t="shared" si="4"/>
        <v>5.5389109097459572</v>
      </c>
    </row>
    <row r="27" spans="3:15" x14ac:dyDescent="0.25">
      <c r="D27">
        <v>25</v>
      </c>
      <c r="E27" s="13">
        <f t="shared" si="0"/>
        <v>951.207537786599</v>
      </c>
      <c r="F27" s="13">
        <f t="shared" si="5"/>
        <v>48.792462213400988</v>
      </c>
      <c r="G27" s="13">
        <f t="shared" si="6"/>
        <v>28.41358910520259</v>
      </c>
      <c r="H27" s="5">
        <f t="shared" si="8"/>
        <v>20.378873108198398</v>
      </c>
      <c r="I27" s="22">
        <f t="shared" si="1"/>
        <v>2.9004671627851537E-2</v>
      </c>
      <c r="L27" s="19">
        <f t="shared" si="2"/>
        <v>23.508000881840143</v>
      </c>
      <c r="M27" s="19">
        <f t="shared" si="7"/>
        <v>0.68184184620501775</v>
      </c>
      <c r="N27" s="19">
        <f t="shared" si="3"/>
        <v>6.8293130760328502E-3</v>
      </c>
      <c r="O27" s="19">
        <f t="shared" si="4"/>
        <v>6.1712893720356803</v>
      </c>
    </row>
    <row r="28" spans="3:15" x14ac:dyDescent="0.25">
      <c r="D28">
        <v>26</v>
      </c>
      <c r="E28" s="13">
        <f t="shared" si="0"/>
        <v>945.03624841456337</v>
      </c>
      <c r="F28" s="13">
        <f t="shared" si="5"/>
        <v>54.963751585436668</v>
      </c>
      <c r="G28" s="13">
        <f t="shared" si="6"/>
        <v>31.77153740017981</v>
      </c>
      <c r="H28" s="5">
        <f t="shared" si="8"/>
        <v>23.192214185256859</v>
      </c>
      <c r="I28" s="22">
        <f t="shared" si="1"/>
        <v>3.2525884684344079E-2</v>
      </c>
      <c r="L28" s="19">
        <f t="shared" si="2"/>
        <v>23.474592456550074</v>
      </c>
      <c r="M28" s="19">
        <f t="shared" si="7"/>
        <v>0.76353188725372112</v>
      </c>
      <c r="N28" s="19">
        <f t="shared" si="3"/>
        <v>7.6443838367282746E-3</v>
      </c>
      <c r="O28" s="19">
        <f t="shared" si="4"/>
        <v>6.8630088313774831</v>
      </c>
    </row>
    <row r="29" spans="3:15" x14ac:dyDescent="0.25">
      <c r="D29">
        <v>27</v>
      </c>
      <c r="E29" s="13">
        <f t="shared" si="0"/>
        <v>938.17323958318582</v>
      </c>
      <c r="F29" s="13">
        <f t="shared" si="5"/>
        <v>61.826760416814153</v>
      </c>
      <c r="G29" s="13">
        <f t="shared" si="6"/>
        <v>35.47726706049513</v>
      </c>
      <c r="H29" s="5">
        <f t="shared" si="8"/>
        <v>26.349493356319023</v>
      </c>
      <c r="I29" s="22">
        <f t="shared" si="1"/>
        <v>3.6437373388517588E-2</v>
      </c>
      <c r="L29" s="19">
        <f t="shared" si="2"/>
        <v>23.437099766393711</v>
      </c>
      <c r="M29" s="19">
        <f t="shared" si="7"/>
        <v>0.85398635533202594</v>
      </c>
      <c r="N29" s="19">
        <f t="shared" si="3"/>
        <v>8.5461221816922617E-3</v>
      </c>
      <c r="O29" s="19">
        <f t="shared" si="4"/>
        <v>7.6168559764183552</v>
      </c>
    </row>
    <row r="30" spans="3:15" x14ac:dyDescent="0.25">
      <c r="D30">
        <v>28</v>
      </c>
      <c r="E30" s="13">
        <f t="shared" si="0"/>
        <v>930.55638360676744</v>
      </c>
      <c r="F30" s="13">
        <f t="shared" si="5"/>
        <v>69.443616393232503</v>
      </c>
      <c r="G30" s="13">
        <f t="shared" si="6"/>
        <v>39.555154128205913</v>
      </c>
      <c r="H30" s="5">
        <f t="shared" si="8"/>
        <v>29.88846226502659</v>
      </c>
      <c r="I30" s="22">
        <f t="shared" si="1"/>
        <v>4.0773820936672603E-2</v>
      </c>
      <c r="L30" s="19">
        <f t="shared" si="2"/>
        <v>23.395074510602807</v>
      </c>
      <c r="M30" s="19">
        <f t="shared" si="7"/>
        <v>0.95390657889543229</v>
      </c>
      <c r="N30" s="19">
        <f t="shared" si="3"/>
        <v>9.5412719352047093E-3</v>
      </c>
      <c r="O30" s="19">
        <f t="shared" si="4"/>
        <v>8.4347569316811963</v>
      </c>
    </row>
    <row r="31" spans="3:15" x14ac:dyDescent="0.25">
      <c r="D31">
        <v>29</v>
      </c>
      <c r="E31" s="13">
        <f t="shared" si="0"/>
        <v>922.1216266750863</v>
      </c>
      <c r="F31" s="13">
        <f t="shared" si="5"/>
        <v>77.878373324913696</v>
      </c>
      <c r="G31" s="13">
        <f t="shared" si="6"/>
        <v>44.026146477149027</v>
      </c>
      <c r="H31" s="5">
        <f t="shared" si="8"/>
        <v>33.852226847764669</v>
      </c>
      <c r="I31" s="22">
        <f t="shared" si="1"/>
        <v>4.5568750144199581E-2</v>
      </c>
      <c r="L31" s="19">
        <f t="shared" si="2"/>
        <v>23.348004806182797</v>
      </c>
      <c r="M31" s="19">
        <f t="shared" si="7"/>
        <v>1.0639393973785147</v>
      </c>
      <c r="N31" s="19">
        <f t="shared" si="3"/>
        <v>1.0635981926917615E-2</v>
      </c>
      <c r="O31" s="19">
        <f t="shared" si="4"/>
        <v>9.3172855079492845</v>
      </c>
    </row>
    <row r="32" spans="3:15" x14ac:dyDescent="0.25">
      <c r="D32">
        <v>30</v>
      </c>
      <c r="E32" s="13">
        <f t="shared" si="0"/>
        <v>912.80434116713707</v>
      </c>
      <c r="F32" s="13">
        <f t="shared" si="5"/>
        <v>87.195658832862975</v>
      </c>
      <c r="G32" s="13">
        <f t="shared" si="6"/>
        <v>48.90468745899517</v>
      </c>
      <c r="H32" s="5">
        <f t="shared" si="8"/>
        <v>38.290971373867805</v>
      </c>
      <c r="I32" s="22">
        <f t="shared" si="1"/>
        <v>5.0851854358546361E-2</v>
      </c>
      <c r="L32" s="19">
        <f t="shared" si="2"/>
        <v>23.295294714935316</v>
      </c>
      <c r="M32" s="19">
        <f t="shared" si="7"/>
        <v>1.1846089340833055</v>
      </c>
      <c r="N32" s="19">
        <f t="shared" si="3"/>
        <v>1.1835125015992931E-2</v>
      </c>
      <c r="O32" s="19">
        <f t="shared" si="4"/>
        <v>10.262995818211422</v>
      </c>
    </row>
    <row r="33" spans="1:15" x14ac:dyDescent="0.25">
      <c r="D33">
        <v>31</v>
      </c>
      <c r="E33" s="13">
        <f t="shared" si="0"/>
        <v>902.54134534892557</v>
      </c>
      <c r="F33" s="13">
        <f t="shared" si="5"/>
        <v>97.458654651074397</v>
      </c>
      <c r="G33" s="13">
        <f t="shared" si="6"/>
        <v>54.205103347419367</v>
      </c>
      <c r="H33" s="5">
        <f t="shared" si="8"/>
        <v>43.25355130365503</v>
      </c>
      <c r="I33" s="22">
        <f t="shared" si="1"/>
        <v>5.6655661927231406E-2</v>
      </c>
      <c r="L33" s="19">
        <f t="shared" si="2"/>
        <v>23.236364078269094</v>
      </c>
      <c r="M33" s="19">
        <f t="shared" si="7"/>
        <v>1.3164715876364779</v>
      </c>
      <c r="N33" s="19">
        <f t="shared" si="3"/>
        <v>1.3143836920252228E-2</v>
      </c>
      <c r="O33" s="19">
        <f t="shared" si="4"/>
        <v>11.269713444198757</v>
      </c>
    </row>
    <row r="34" spans="1:15" x14ac:dyDescent="0.25">
      <c r="D34">
        <v>32</v>
      </c>
      <c r="E34" s="13">
        <f t="shared" ref="E34:E97" si="9">$B$3-F34</f>
        <v>891.27163190472686</v>
      </c>
      <c r="F34" s="13">
        <f t="shared" si="5"/>
        <v>108.72836809527315</v>
      </c>
      <c r="G34" s="13">
        <f t="shared" si="6"/>
        <v>59.935905881872166</v>
      </c>
      <c r="H34" s="5">
        <f t="shared" si="8"/>
        <v>48.792462213400988</v>
      </c>
      <c r="I34" s="22">
        <f t="shared" ref="I34:I65" si="10">G34/(E34+G34)</f>
        <v>6.3010335285335631E-2</v>
      </c>
      <c r="L34" s="19">
        <f t="shared" ref="L34:L66" si="11">$B$5*(1-B$2)*((1-H34/$B$3)*(1-$B$6)+$B$6)</f>
        <v>23.170589511215862</v>
      </c>
      <c r="M34" s="19">
        <f t="shared" si="7"/>
        <v>1.4599866138605926</v>
      </c>
      <c r="N34" s="19">
        <f t="shared" ref="N34:N97" si="12">1-(1-$B$7)^M34</f>
        <v>1.4566226746583699E-2</v>
      </c>
      <c r="O34" s="19">
        <f t="shared" ref="O34:O65" si="13">E34*(1-B$2)*N34</f>
        <v>12.333341448965836</v>
      </c>
    </row>
    <row r="35" spans="1:15" x14ac:dyDescent="0.25">
      <c r="D35">
        <v>33</v>
      </c>
      <c r="E35" s="13">
        <f t="shared" si="9"/>
        <v>878.93829045576103</v>
      </c>
      <c r="F35" s="13">
        <f t="shared" ref="F35:F66" si="14">F34+O34</f>
        <v>121.06170954423899</v>
      </c>
      <c r="G35" s="13">
        <f t="shared" si="6"/>
        <v>66.097957958802326</v>
      </c>
      <c r="H35" s="5">
        <f t="shared" si="8"/>
        <v>54.963751585436668</v>
      </c>
      <c r="I35" s="22">
        <f t="shared" si="10"/>
        <v>6.9942246204514724E-2</v>
      </c>
      <c r="L35" s="19">
        <f t="shared" si="11"/>
        <v>23.097305449922938</v>
      </c>
      <c r="M35" s="19">
        <f t="shared" si="7"/>
        <v>1.6154774244393899</v>
      </c>
      <c r="N35" s="19">
        <f t="shared" si="12"/>
        <v>1.6104995807404765E-2</v>
      </c>
      <c r="O35" s="19">
        <f t="shared" si="13"/>
        <v>13.447532608619666</v>
      </c>
    </row>
    <row r="36" spans="1:15" x14ac:dyDescent="0.25">
      <c r="D36">
        <v>34</v>
      </c>
      <c r="E36" s="13">
        <f t="shared" si="9"/>
        <v>865.49075784714137</v>
      </c>
      <c r="F36" s="13">
        <f t="shared" si="14"/>
        <v>134.50924215285866</v>
      </c>
      <c r="G36" s="13">
        <f t="shared" si="6"/>
        <v>72.682481736044508</v>
      </c>
      <c r="H36" s="5">
        <f t="shared" si="8"/>
        <v>61.826760416814153</v>
      </c>
      <c r="I36" s="22">
        <f t="shared" si="10"/>
        <v>7.7472345905257409E-2</v>
      </c>
      <c r="L36" s="19">
        <f t="shared" si="11"/>
        <v>23.015807220050334</v>
      </c>
      <c r="M36" s="19">
        <f t="shared" si="7"/>
        <v>1.7830885782404604</v>
      </c>
      <c r="N36" s="19">
        <f t="shared" si="12"/>
        <v>1.7761019333674466E-2</v>
      </c>
      <c r="O36" s="19">
        <f t="shared" si="13"/>
        <v>14.60339817907766</v>
      </c>
    </row>
    <row r="37" spans="1:15" x14ac:dyDescent="0.25">
      <c r="D37">
        <v>35</v>
      </c>
      <c r="E37" s="13">
        <f t="shared" si="9"/>
        <v>850.88735966806371</v>
      </c>
      <c r="F37" s="13">
        <f t="shared" si="14"/>
        <v>149.11264033193632</v>
      </c>
      <c r="G37" s="13">
        <f t="shared" si="6"/>
        <v>79.669023938703816</v>
      </c>
      <c r="H37" s="5">
        <f t="shared" si="8"/>
        <v>69.443616393232503</v>
      </c>
      <c r="I37" s="22">
        <f t="shared" si="10"/>
        <v>8.561439730273257E-2</v>
      </c>
      <c r="L37" s="19">
        <f t="shared" si="11"/>
        <v>22.925357055330362</v>
      </c>
      <c r="M37" s="19">
        <f t="shared" si="7"/>
        <v>1.9627406272420569</v>
      </c>
      <c r="N37" s="19">
        <f t="shared" si="12"/>
        <v>1.9532914000456536E-2</v>
      </c>
      <c r="O37" s="19">
        <f t="shared" si="13"/>
        <v>15.789294139448225</v>
      </c>
    </row>
    <row r="38" spans="1:15" x14ac:dyDescent="0.25">
      <c r="D38">
        <v>36</v>
      </c>
      <c r="E38" s="13">
        <f t="shared" si="9"/>
        <v>835.09806552861551</v>
      </c>
      <c r="F38" s="13">
        <f t="shared" si="14"/>
        <v>164.90193447138455</v>
      </c>
      <c r="G38" s="13">
        <f t="shared" si="6"/>
        <v>87.023561146470854</v>
      </c>
      <c r="H38" s="5">
        <f t="shared" si="8"/>
        <v>77.878373324913696</v>
      </c>
      <c r="I38" s="22">
        <f t="shared" si="10"/>
        <v>9.4373191810123311E-2</v>
      </c>
      <c r="L38" s="19">
        <f t="shared" si="11"/>
        <v>22.825194316766648</v>
      </c>
      <c r="M38" s="19">
        <f t="shared" si="7"/>
        <v>2.1540864413595555</v>
      </c>
      <c r="N38" s="19">
        <f t="shared" si="12"/>
        <v>2.1416628294535611E-2</v>
      </c>
      <c r="O38" s="19">
        <f t="shared" si="13"/>
        <v>16.990735615966496</v>
      </c>
    </row>
    <row r="39" spans="1:15" x14ac:dyDescent="0.25">
      <c r="A39" s="36" t="s">
        <v>20</v>
      </c>
      <c r="B39" s="2" t="s">
        <v>3</v>
      </c>
      <c r="C39" s="2" t="s">
        <v>18</v>
      </c>
      <c r="D39">
        <v>37</v>
      </c>
      <c r="E39" s="13">
        <f t="shared" si="9"/>
        <v>818.10732991264899</v>
      </c>
      <c r="F39" s="13">
        <f t="shared" si="14"/>
        <v>181.89267008735104</v>
      </c>
      <c r="G39" s="13">
        <f t="shared" si="6"/>
        <v>94.697011254488061</v>
      </c>
      <c r="H39" s="5">
        <f t="shared" si="8"/>
        <v>87.195658832862975</v>
      </c>
      <c r="I39" s="22">
        <f t="shared" si="10"/>
        <v>0.10374294575922571</v>
      </c>
      <c r="L39" s="19">
        <f t="shared" si="11"/>
        <v>22.714551551359754</v>
      </c>
      <c r="M39" s="19">
        <f t="shared" si="7"/>
        <v>2.3564744895378511</v>
      </c>
      <c r="N39" s="19">
        <f t="shared" si="12"/>
        <v>2.3405110237042059E-2</v>
      </c>
      <c r="O39" s="19">
        <f t="shared" si="13"/>
        <v>18.190497630220801</v>
      </c>
    </row>
    <row r="40" spans="1:15" x14ac:dyDescent="0.25">
      <c r="A40" s="32">
        <v>0</v>
      </c>
      <c r="B40" s="1">
        <v>893.86413815433855</v>
      </c>
      <c r="C40" s="34">
        <v>1.75</v>
      </c>
      <c r="D40">
        <v>38</v>
      </c>
      <c r="E40" s="13">
        <f t="shared" si="9"/>
        <v>799.91683228242823</v>
      </c>
      <c r="F40" s="13">
        <f t="shared" si="14"/>
        <v>200.08316771757183</v>
      </c>
      <c r="G40" s="13">
        <f t="shared" si="6"/>
        <v>102.62451306649743</v>
      </c>
      <c r="H40" s="5">
        <f t="shared" si="8"/>
        <v>97.458654651074397</v>
      </c>
      <c r="I40" s="22">
        <f t="shared" si="10"/>
        <v>0.11370616270972321</v>
      </c>
      <c r="L40" s="19">
        <f t="shared" si="11"/>
        <v>22.592678476018492</v>
      </c>
      <c r="M40" s="19">
        <f t="shared" si="7"/>
        <v>2.5689267748426201</v>
      </c>
      <c r="N40" s="19">
        <f t="shared" si="12"/>
        <v>2.5488127434066143E-2</v>
      </c>
      <c r="O40" s="19">
        <f t="shared" si="13"/>
        <v>19.368963049975591</v>
      </c>
    </row>
    <row r="41" spans="1:15" x14ac:dyDescent="0.25">
      <c r="A41" s="32">
        <v>1.0000000474974513E-3</v>
      </c>
      <c r="B41" s="1">
        <v>892.0607768760774</v>
      </c>
      <c r="C41" s="34">
        <v>1.746501749833925</v>
      </c>
      <c r="D41">
        <v>39</v>
      </c>
      <c r="E41" s="13">
        <f t="shared" si="9"/>
        <v>780.54786923245251</v>
      </c>
      <c r="F41" s="13">
        <f t="shared" si="14"/>
        <v>219.45213076754743</v>
      </c>
      <c r="G41" s="13">
        <f t="shared" si="6"/>
        <v>110.72376267227428</v>
      </c>
      <c r="H41" s="5">
        <f t="shared" si="8"/>
        <v>108.72836809527315</v>
      </c>
      <c r="I41" s="22">
        <f t="shared" si="10"/>
        <v>0.12423122054905725</v>
      </c>
      <c r="L41" s="19">
        <f t="shared" si="11"/>
        <v>22.458850628868632</v>
      </c>
      <c r="M41" s="19">
        <f t="shared" si="7"/>
        <v>2.7900904257533119</v>
      </c>
      <c r="N41" s="19">
        <f t="shared" si="12"/>
        <v>2.7651836581904621E-2</v>
      </c>
      <c r="O41" s="19">
        <f t="shared" si="13"/>
        <v>20.504403018151152</v>
      </c>
    </row>
    <row r="42" spans="1:15" x14ac:dyDescent="0.25">
      <c r="A42" s="32">
        <v>2.0000000949949026E-3</v>
      </c>
      <c r="B42" s="1">
        <v>890.22669151417813</v>
      </c>
      <c r="C42" s="34">
        <v>1.743006999668183</v>
      </c>
      <c r="D42">
        <v>40</v>
      </c>
      <c r="E42" s="13">
        <f t="shared" si="9"/>
        <v>760.04346621430136</v>
      </c>
      <c r="F42" s="13">
        <f t="shared" si="14"/>
        <v>239.95653378569858</v>
      </c>
      <c r="G42" s="13">
        <f t="shared" si="6"/>
        <v>118.89482424145959</v>
      </c>
      <c r="H42" s="5">
        <f t="shared" si="8"/>
        <v>121.06170954423899</v>
      </c>
      <c r="I42" s="22">
        <f t="shared" si="10"/>
        <v>0.13527095762298441</v>
      </c>
      <c r="L42" s="19">
        <f t="shared" si="11"/>
        <v>22.312392199162161</v>
      </c>
      <c r="M42" s="19">
        <f t="shared" si="7"/>
        <v>3.0182186596402727</v>
      </c>
      <c r="N42" s="19">
        <f t="shared" si="12"/>
        <v>2.9878649022142323E-2</v>
      </c>
      <c r="O42" s="19">
        <f t="shared" si="13"/>
        <v>21.573618370160116</v>
      </c>
    </row>
    <row r="43" spans="1:15" x14ac:dyDescent="0.25">
      <c r="A43" s="32">
        <v>3.0000000260770321E-3</v>
      </c>
      <c r="B43" s="1">
        <v>888.36133418290467</v>
      </c>
      <c r="C43" s="34">
        <v>1.7395157499090041</v>
      </c>
      <c r="D43">
        <v>41</v>
      </c>
      <c r="E43" s="13">
        <f t="shared" si="9"/>
        <v>738.46984784414133</v>
      </c>
      <c r="F43" s="13">
        <f t="shared" si="14"/>
        <v>261.53015215585867</v>
      </c>
      <c r="G43" s="13">
        <f t="shared" si="6"/>
        <v>127.02091000300001</v>
      </c>
      <c r="H43" s="5">
        <f t="shared" si="8"/>
        <v>134.50924215285866</v>
      </c>
      <c r="I43" s="22">
        <f t="shared" si="10"/>
        <v>0.14676171738558738</v>
      </c>
      <c r="L43" s="19">
        <f t="shared" si="11"/>
        <v>22.152702749434802</v>
      </c>
      <c r="M43" s="19">
        <f t="shared" si="7"/>
        <v>3.2511687002394751</v>
      </c>
      <c r="N43" s="19">
        <f t="shared" si="12"/>
        <v>3.2147265784286616E-2</v>
      </c>
      <c r="O43" s="19">
        <f t="shared" si="13"/>
        <v>22.55279714871094</v>
      </c>
    </row>
    <row r="44" spans="1:15" x14ac:dyDescent="0.25">
      <c r="A44" s="32">
        <v>4.0000001899898052E-3</v>
      </c>
      <c r="B44" s="1">
        <v>886.46414700621631</v>
      </c>
      <c r="C44" s="34">
        <v>1.7360279993376957</v>
      </c>
      <c r="D44">
        <v>42</v>
      </c>
      <c r="E44" s="13">
        <f t="shared" si="9"/>
        <v>715.91705069543036</v>
      </c>
      <c r="F44" s="13">
        <f t="shared" si="14"/>
        <v>284.08294930456964</v>
      </c>
      <c r="G44" s="13">
        <f t="shared" si="6"/>
        <v>134.97030897263332</v>
      </c>
      <c r="H44" s="5">
        <f t="shared" si="8"/>
        <v>149.11264033193632</v>
      </c>
      <c r="I44" s="22">
        <f t="shared" si="10"/>
        <v>0.15862300390181616</v>
      </c>
      <c r="L44" s="19">
        <f t="shared" si="11"/>
        <v>21.979287396058258</v>
      </c>
      <c r="M44" s="19">
        <f t="shared" si="7"/>
        <v>3.4864205903840877</v>
      </c>
      <c r="N44" s="19">
        <f t="shared" si="12"/>
        <v>3.4432915450140489E-2</v>
      </c>
      <c r="O44" s="19">
        <f t="shared" si="13"/>
        <v>23.418555712114209</v>
      </c>
    </row>
    <row r="45" spans="1:15" x14ac:dyDescent="0.25">
      <c r="A45" s="32">
        <v>5.0000003539025784E-3</v>
      </c>
      <c r="B45" s="1">
        <v>884.53456406105727</v>
      </c>
      <c r="C45" s="34">
        <v>1.7325437487675344</v>
      </c>
      <c r="D45">
        <v>43</v>
      </c>
      <c r="E45" s="13">
        <f t="shared" si="9"/>
        <v>692.49849498331616</v>
      </c>
      <c r="F45" s="13">
        <f t="shared" si="14"/>
        <v>307.50150501668384</v>
      </c>
      <c r="G45" s="13">
        <f t="shared" si="6"/>
        <v>142.59957054529929</v>
      </c>
      <c r="H45" s="5">
        <f t="shared" si="8"/>
        <v>164.90193447138455</v>
      </c>
      <c r="I45" s="22">
        <f t="shared" si="10"/>
        <v>0.17075787435219841</v>
      </c>
      <c r="L45" s="19">
        <f t="shared" si="11"/>
        <v>21.791789528152307</v>
      </c>
      <c r="M45" s="19">
        <f t="shared" si="7"/>
        <v>3.721119658157785</v>
      </c>
      <c r="N45" s="19">
        <f t="shared" si="12"/>
        <v>3.6707815314630299E-2</v>
      </c>
      <c r="O45" s="19">
        <f t="shared" si="13"/>
        <v>24.149101516531655</v>
      </c>
    </row>
    <row r="46" spans="1:15" x14ac:dyDescent="0.25">
      <c r="A46" s="32">
        <v>6.0000005178153515E-3</v>
      </c>
      <c r="B46" s="1">
        <v>882.57200985092129</v>
      </c>
      <c r="C46" s="34">
        <v>1.7290629981985204</v>
      </c>
      <c r="D46">
        <v>44</v>
      </c>
      <c r="E46" s="13">
        <f t="shared" si="9"/>
        <v>668.34939346678448</v>
      </c>
      <c r="F46" s="13">
        <f t="shared" si="14"/>
        <v>331.65060653321547</v>
      </c>
      <c r="G46" s="13">
        <f t="shared" si="6"/>
        <v>149.75793644586443</v>
      </c>
      <c r="H46" s="5">
        <f t="shared" si="8"/>
        <v>181.89267008735104</v>
      </c>
      <c r="I46" s="22">
        <f t="shared" si="10"/>
        <v>0.18305414335042619</v>
      </c>
      <c r="L46" s="19">
        <f t="shared" si="11"/>
        <v>21.590024542712705</v>
      </c>
      <c r="M46" s="19">
        <f t="shared" si="7"/>
        <v>3.9521434475809509</v>
      </c>
      <c r="N46" s="19">
        <f t="shared" si="12"/>
        <v>3.8941856758589299E-2</v>
      </c>
      <c r="O46" s="19">
        <f t="shared" si="13"/>
        <v>24.725428027819881</v>
      </c>
    </row>
    <row r="47" spans="1:15" x14ac:dyDescent="0.25">
      <c r="A47" s="32">
        <v>7.0000006817281246E-3</v>
      </c>
      <c r="B47" s="1">
        <v>880.57589974121186</v>
      </c>
      <c r="C47" s="34">
        <v>1.725585747630654</v>
      </c>
      <c r="D47">
        <v>45</v>
      </c>
      <c r="E47" s="13">
        <f t="shared" si="9"/>
        <v>643.62396543896466</v>
      </c>
      <c r="F47" s="13">
        <f t="shared" si="14"/>
        <v>356.37603456103534</v>
      </c>
      <c r="G47" s="13">
        <f t="shared" si="6"/>
        <v>156.29286684346351</v>
      </c>
      <c r="H47" s="5">
        <f t="shared" si="8"/>
        <v>200.08316771757183</v>
      </c>
      <c r="I47" s="22">
        <f t="shared" si="10"/>
        <v>0.1953863958550642</v>
      </c>
      <c r="L47" s="19">
        <f t="shared" si="11"/>
        <v>21.374012383353833</v>
      </c>
      <c r="M47" s="19">
        <f t="shared" si="7"/>
        <v>4.1761912445450164</v>
      </c>
      <c r="N47" s="19">
        <f t="shared" si="12"/>
        <v>4.1103490172580193E-2</v>
      </c>
      <c r="O47" s="19">
        <f t="shared" si="13"/>
        <v>25.132431771344699</v>
      </c>
    </row>
    <row r="48" spans="1:15" x14ac:dyDescent="0.25">
      <c r="A48" s="32">
        <v>8.0000003799796104E-3</v>
      </c>
      <c r="B48" s="1">
        <v>878.54564093127669</v>
      </c>
      <c r="C48" s="34">
        <v>1.722111998680711</v>
      </c>
      <c r="D48">
        <v>46</v>
      </c>
      <c r="E48" s="13">
        <f t="shared" si="9"/>
        <v>618.49153366761993</v>
      </c>
      <c r="F48" s="13">
        <f t="shared" si="14"/>
        <v>381.50846633238007</v>
      </c>
      <c r="G48" s="13">
        <f t="shared" si="6"/>
        <v>162.05633556483264</v>
      </c>
      <c r="H48" s="5">
        <f t="shared" si="8"/>
        <v>219.45213076754743</v>
      </c>
      <c r="I48" s="22">
        <f t="shared" si="10"/>
        <v>0.2076187021357061</v>
      </c>
      <c r="L48" s="19">
        <f t="shared" si="11"/>
        <v>21.144005947135373</v>
      </c>
      <c r="M48" s="19">
        <f t="shared" si="7"/>
        <v>4.3898910726938976</v>
      </c>
      <c r="N48" s="19">
        <f t="shared" si="12"/>
        <v>4.3160754947716873E-2</v>
      </c>
      <c r="O48" s="19">
        <f t="shared" si="13"/>
        <v>25.359833445772438</v>
      </c>
    </row>
    <row r="49" spans="1:15" x14ac:dyDescent="0.25">
      <c r="A49" s="32">
        <v>9.0000005438923836E-3</v>
      </c>
      <c r="B49" s="1">
        <v>876.48062869053058</v>
      </c>
      <c r="C49" s="34">
        <v>1.7186417481135094</v>
      </c>
      <c r="D49">
        <v>47</v>
      </c>
      <c r="E49" s="13">
        <f t="shared" si="9"/>
        <v>593.1317002218475</v>
      </c>
      <c r="F49" s="13">
        <f t="shared" si="14"/>
        <v>406.8682997781525</v>
      </c>
      <c r="G49" s="13">
        <f t="shared" si="6"/>
        <v>166.91176599245392</v>
      </c>
      <c r="H49" s="5">
        <f t="shared" si="8"/>
        <v>239.95653378569858</v>
      </c>
      <c r="I49" s="22">
        <f t="shared" si="10"/>
        <v>0.2196081848105666</v>
      </c>
      <c r="L49" s="19">
        <f t="shared" si="11"/>
        <v>20.900516161294828</v>
      </c>
      <c r="M49" s="19">
        <f t="shared" si="7"/>
        <v>4.5899244157858687</v>
      </c>
      <c r="N49" s="19">
        <f t="shared" si="12"/>
        <v>4.5082454405804495E-2</v>
      </c>
      <c r="O49" s="19">
        <f t="shared" si="13"/>
        <v>25.402841190294303</v>
      </c>
    </row>
    <row r="50" spans="1:15" x14ac:dyDescent="0.25">
      <c r="A50" s="32">
        <v>1.0000000707805157E-2</v>
      </c>
      <c r="B50" s="1">
        <v>874.38025208029887</v>
      </c>
      <c r="C50" s="34">
        <v>1.7151749975474551</v>
      </c>
      <c r="D50">
        <v>48</v>
      </c>
      <c r="E50" s="13">
        <f t="shared" si="9"/>
        <v>567.72885903155316</v>
      </c>
      <c r="F50" s="13">
        <f t="shared" si="14"/>
        <v>432.27114096844679</v>
      </c>
      <c r="G50" s="13">
        <f t="shared" si="6"/>
        <v>170.74098881258811</v>
      </c>
      <c r="H50" s="5">
        <f t="shared" si="8"/>
        <v>261.53015215585867</v>
      </c>
      <c r="I50" s="22">
        <f t="shared" si="10"/>
        <v>0.23120915405150583</v>
      </c>
      <c r="L50" s="19">
        <f t="shared" si="11"/>
        <v>20.644329443149179</v>
      </c>
      <c r="M50" s="19">
        <f t="shared" si="7"/>
        <v>4.773157946511116</v>
      </c>
      <c r="N50" s="19">
        <f t="shared" si="12"/>
        <v>4.6839372720574701E-2</v>
      </c>
      <c r="O50" s="19">
        <f t="shared" si="13"/>
        <v>25.262460450785252</v>
      </c>
    </row>
    <row r="51" spans="1:15" x14ac:dyDescent="0.25">
      <c r="A51" s="32">
        <v>1.100000087171793E-2</v>
      </c>
      <c r="B51" s="1">
        <v>872.2438902555408</v>
      </c>
      <c r="C51" s="34">
        <v>1.7117117469825482</v>
      </c>
      <c r="D51">
        <v>49</v>
      </c>
      <c r="E51" s="13">
        <f t="shared" si="9"/>
        <v>542.46639858076799</v>
      </c>
      <c r="F51" s="13">
        <f t="shared" si="14"/>
        <v>457.53360141923201</v>
      </c>
      <c r="G51" s="13">
        <f t="shared" si="6"/>
        <v>173.45065211466238</v>
      </c>
      <c r="H51" s="5">
        <f t="shared" si="8"/>
        <v>284.08294930456964</v>
      </c>
      <c r="I51" s="22">
        <f t="shared" si="10"/>
        <v>0.24227758222293377</v>
      </c>
      <c r="L51" s="19">
        <f t="shared" si="11"/>
        <v>20.376514977008238</v>
      </c>
      <c r="M51" s="19">
        <f t="shared" si="7"/>
        <v>4.9367727827589549</v>
      </c>
      <c r="N51" s="19">
        <f t="shared" si="12"/>
        <v>4.8405446891251591E-2</v>
      </c>
      <c r="O51" s="19">
        <f t="shared" si="13"/>
        <v>24.945412024450388</v>
      </c>
    </row>
    <row r="52" spans="1:15" x14ac:dyDescent="0.25">
      <c r="A52" s="32">
        <v>1.2000001035630703E-2</v>
      </c>
      <c r="B52" s="1">
        <v>870.07091348793608</v>
      </c>
      <c r="C52" s="34">
        <v>1.708251996418789</v>
      </c>
      <c r="D52">
        <v>50</v>
      </c>
      <c r="E52" s="13">
        <f t="shared" si="9"/>
        <v>517.52098655631767</v>
      </c>
      <c r="F52" s="13">
        <f t="shared" si="14"/>
        <v>482.47901344368239</v>
      </c>
      <c r="G52" s="13">
        <f t="shared" si="6"/>
        <v>174.97750842699855</v>
      </c>
      <c r="H52" s="5">
        <f t="shared" si="8"/>
        <v>307.50150501668384</v>
      </c>
      <c r="I52" s="22">
        <f t="shared" si="10"/>
        <v>0.25267565156399963</v>
      </c>
      <c r="L52" s="19">
        <f t="shared" si="11"/>
        <v>20.09841962792688</v>
      </c>
      <c r="M52" s="19">
        <f t="shared" si="7"/>
        <v>5.0783812748931032</v>
      </c>
      <c r="N52" s="19">
        <f t="shared" si="12"/>
        <v>4.9758805253205085E-2</v>
      </c>
      <c r="O52" s="19">
        <f t="shared" si="13"/>
        <v>24.463664685277259</v>
      </c>
    </row>
    <row r="53" spans="1:15" x14ac:dyDescent="0.25">
      <c r="A53" s="32">
        <v>1.3000001199543476E-2</v>
      </c>
      <c r="B53" s="1">
        <v>867.86068327146427</v>
      </c>
      <c r="C53" s="34">
        <v>1.7047957458561771</v>
      </c>
      <c r="D53">
        <v>51</v>
      </c>
      <c r="E53" s="13">
        <f t="shared" si="9"/>
        <v>493.05732187104036</v>
      </c>
      <c r="F53" s="13">
        <f t="shared" si="14"/>
        <v>506.94267812895964</v>
      </c>
      <c r="G53" s="13">
        <f t="shared" si="6"/>
        <v>175.29207159574418</v>
      </c>
      <c r="H53" s="5">
        <f t="shared" si="8"/>
        <v>331.65060653321547</v>
      </c>
      <c r="I53" s="22">
        <f t="shared" si="10"/>
        <v>0.26227609886273623</v>
      </c>
      <c r="L53" s="19">
        <f t="shared" si="11"/>
        <v>19.811649047418065</v>
      </c>
      <c r="M53" s="19">
        <f t="shared" si="7"/>
        <v>5.1961220241944543</v>
      </c>
      <c r="N53" s="19">
        <f t="shared" si="12"/>
        <v>5.0882592998282683E-2</v>
      </c>
      <c r="O53" s="19">
        <f t="shared" si="13"/>
        <v>23.833633281908035</v>
      </c>
    </row>
    <row r="54" spans="1:15" x14ac:dyDescent="0.25">
      <c r="A54" s="32">
        <v>1.4000001363456249E-2</v>
      </c>
      <c r="B54" s="1">
        <v>865.61255244921108</v>
      </c>
      <c r="C54" s="34">
        <v>1.7013429952947126</v>
      </c>
      <c r="D54">
        <v>52</v>
      </c>
      <c r="E54" s="13">
        <f t="shared" si="9"/>
        <v>469.22368858913228</v>
      </c>
      <c r="F54" s="13">
        <f t="shared" si="14"/>
        <v>530.77631141086772</v>
      </c>
      <c r="G54" s="13">
        <f t="shared" si="6"/>
        <v>174.40027684983238</v>
      </c>
      <c r="H54" s="5">
        <f t="shared" si="8"/>
        <v>356.37603456103534</v>
      </c>
      <c r="I54" s="22">
        <f t="shared" si="10"/>
        <v>0.27096610165982221</v>
      </c>
      <c r="L54" s="19">
        <f t="shared" si="11"/>
        <v>19.518034589587703</v>
      </c>
      <c r="M54" s="19">
        <f t="shared" si="7"/>
        <v>5.2887257448021483</v>
      </c>
      <c r="N54" s="19">
        <f t="shared" si="12"/>
        <v>5.1765524203926216E-2</v>
      </c>
      <c r="O54" s="19">
        <f t="shared" si="13"/>
        <v>23.075129698280449</v>
      </c>
    </row>
    <row r="55" spans="1:15" x14ac:dyDescent="0.25">
      <c r="A55" s="32">
        <v>1.5000001527369022E-2</v>
      </c>
      <c r="B55" s="1">
        <v>863.32586536278416</v>
      </c>
      <c r="C55" s="34">
        <v>1.6978937447343954</v>
      </c>
      <c r="D55">
        <v>53</v>
      </c>
      <c r="E55" s="13">
        <f t="shared" si="9"/>
        <v>446.14855889085186</v>
      </c>
      <c r="F55" s="13">
        <f t="shared" si="14"/>
        <v>553.85144110914814</v>
      </c>
      <c r="G55" s="13">
        <f t="shared" si="6"/>
        <v>172.34297477676807</v>
      </c>
      <c r="H55" s="5">
        <f t="shared" si="8"/>
        <v>381.50846633238007</v>
      </c>
      <c r="I55" s="22">
        <f t="shared" si="10"/>
        <v>0.2786504994737502</v>
      </c>
      <c r="L55" s="19">
        <f t="shared" si="11"/>
        <v>19.219586962302987</v>
      </c>
      <c r="M55" s="19">
        <f t="shared" si="7"/>
        <v>5.3555475067249043</v>
      </c>
      <c r="N55" s="19">
        <f t="shared" si="12"/>
        <v>5.2402126814232508E-2</v>
      </c>
      <c r="O55" s="19">
        <f t="shared" si="13"/>
        <v>22.210176692936223</v>
      </c>
    </row>
    <row r="56" spans="1:15" x14ac:dyDescent="0.25">
      <c r="A56" s="32">
        <v>1.6000000759959221E-2</v>
      </c>
      <c r="B56" s="1">
        <v>860.99996021049412</v>
      </c>
      <c r="C56" s="34">
        <v>1.6944479973827005</v>
      </c>
      <c r="D56">
        <v>54</v>
      </c>
      <c r="E56" s="13">
        <f t="shared" si="9"/>
        <v>423.93838219791564</v>
      </c>
      <c r="F56" s="13">
        <f t="shared" si="14"/>
        <v>576.06161780208436</v>
      </c>
      <c r="G56" s="13">
        <f t="shared" si="6"/>
        <v>169.19331802393185</v>
      </c>
      <c r="H56" s="5">
        <f t="shared" si="8"/>
        <v>406.8682997781525</v>
      </c>
      <c r="I56" s="22">
        <f t="shared" si="10"/>
        <v>0.28525421581859295</v>
      </c>
      <c r="L56" s="19">
        <f t="shared" si="11"/>
        <v>18.91843894013444</v>
      </c>
      <c r="M56" s="19">
        <f t="shared" si="7"/>
        <v>5.3965644643799822</v>
      </c>
      <c r="N56" s="19">
        <f t="shared" si="12"/>
        <v>5.279267856059866E-2</v>
      </c>
      <c r="O56" s="19">
        <f t="shared" si="13"/>
        <v>21.261800603831041</v>
      </c>
    </row>
    <row r="57" spans="1:15" x14ac:dyDescent="0.25">
      <c r="A57" s="32">
        <v>1.7000000923871994E-2</v>
      </c>
      <c r="B57" s="1">
        <v>858.6341605453789</v>
      </c>
      <c r="C57" s="34">
        <v>1.6910057468214184</v>
      </c>
      <c r="D57">
        <v>55</v>
      </c>
      <c r="E57" s="13">
        <f t="shared" si="9"/>
        <v>402.67658159408461</v>
      </c>
      <c r="F57" s="13">
        <f t="shared" si="14"/>
        <v>597.32341840591539</v>
      </c>
      <c r="G57" s="13">
        <f t="shared" si="6"/>
        <v>165.0522774374686</v>
      </c>
      <c r="H57" s="5">
        <f t="shared" si="8"/>
        <v>432.27114096844679</v>
      </c>
      <c r="I57" s="22">
        <f t="shared" si="10"/>
        <v>0.29072377564004609</v>
      </c>
      <c r="L57" s="19">
        <f t="shared" si="11"/>
        <v>18.616780200999695</v>
      </c>
      <c r="M57" s="19">
        <f t="shared" si="7"/>
        <v>5.4123406302954873</v>
      </c>
      <c r="N57" s="19">
        <f t="shared" si="12"/>
        <v>5.2942851837211258E-2</v>
      </c>
      <c r="O57" s="19">
        <f t="shared" si="13"/>
        <v>20.252904267767814</v>
      </c>
    </row>
    <row r="58" spans="1:15" x14ac:dyDescent="0.25">
      <c r="A58" s="32">
        <v>1.8000001087784767E-2</v>
      </c>
      <c r="B58" s="1">
        <v>856.22778849759447</v>
      </c>
      <c r="C58" s="34">
        <v>1.6875669962612836</v>
      </c>
      <c r="D58">
        <v>56</v>
      </c>
      <c r="E58" s="13">
        <f t="shared" si="9"/>
        <v>382.42367732631681</v>
      </c>
      <c r="F58" s="13">
        <f t="shared" si="14"/>
        <v>617.57632267368319</v>
      </c>
      <c r="G58" s="13">
        <f t="shared" si="6"/>
        <v>160.04272125445118</v>
      </c>
      <c r="H58" s="5">
        <f t="shared" si="8"/>
        <v>457.53360141923201</v>
      </c>
      <c r="I58" s="22">
        <f t="shared" si="10"/>
        <v>0.29502789789960121</v>
      </c>
      <c r="L58" s="19">
        <f t="shared" si="11"/>
        <v>18.31678848314662</v>
      </c>
      <c r="M58" s="19">
        <f t="shared" si="7"/>
        <v>5.4039636024543727</v>
      </c>
      <c r="N58" s="19">
        <f t="shared" si="12"/>
        <v>5.2863113898932834E-2</v>
      </c>
      <c r="O58" s="19">
        <f t="shared" si="13"/>
        <v>19.205301091542331</v>
      </c>
    </row>
    <row r="59" spans="1:15" x14ac:dyDescent="0.25">
      <c r="A59" s="32">
        <v>1.900000125169754E-2</v>
      </c>
      <c r="B59" s="1">
        <v>853.78015640219576</v>
      </c>
      <c r="C59" s="34">
        <v>1.6841317457022966</v>
      </c>
      <c r="D59">
        <v>57</v>
      </c>
      <c r="E59" s="13">
        <f t="shared" si="9"/>
        <v>363.2183762347745</v>
      </c>
      <c r="F59" s="13">
        <f t="shared" si="14"/>
        <v>636.7816237652255</v>
      </c>
      <c r="G59" s="13">
        <f t="shared" si="6"/>
        <v>154.30261032154311</v>
      </c>
      <c r="H59" s="5">
        <f t="shared" si="8"/>
        <v>482.47901344368239</v>
      </c>
      <c r="I59" s="22">
        <f t="shared" si="10"/>
        <v>0.29815720391998363</v>
      </c>
      <c r="L59" s="19">
        <f t="shared" si="11"/>
        <v>18.020561715356273</v>
      </c>
      <c r="M59" s="19">
        <f t="shared" si="7"/>
        <v>5.3729602941181298</v>
      </c>
      <c r="N59" s="19">
        <f t="shared" si="12"/>
        <v>5.2567946064969173E-2</v>
      </c>
      <c r="O59" s="19">
        <f t="shared" si="13"/>
        <v>18.138961811129541</v>
      </c>
    </row>
    <row r="60" spans="1:15" x14ac:dyDescent="0.25">
      <c r="A60" s="32">
        <v>2.0000001415610313E-2</v>
      </c>
      <c r="B60" s="1">
        <v>851.29056923255052</v>
      </c>
      <c r="C60" s="34">
        <v>1.6806999951444566</v>
      </c>
      <c r="D60">
        <v>58</v>
      </c>
      <c r="E60" s="13">
        <f t="shared" si="9"/>
        <v>345.07941442364495</v>
      </c>
      <c r="F60" s="13">
        <f t="shared" si="14"/>
        <v>654.92058557635505</v>
      </c>
      <c r="G60" s="13">
        <f t="shared" si="6"/>
        <v>147.97790744739541</v>
      </c>
      <c r="H60" s="5">
        <f t="shared" si="8"/>
        <v>506.94267812895964</v>
      </c>
      <c r="I60" s="22">
        <f t="shared" si="10"/>
        <v>0.3001231314968672</v>
      </c>
      <c r="L60" s="19">
        <f t="shared" si="11"/>
        <v>17.730055697218603</v>
      </c>
      <c r="M60" s="19">
        <f t="shared" si="7"/>
        <v>5.3211998374631184</v>
      </c>
      <c r="N60" s="19">
        <f t="shared" si="12"/>
        <v>5.2074954242961713E-2</v>
      </c>
      <c r="O60" s="19">
        <f t="shared" si="13"/>
        <v>17.071494980484363</v>
      </c>
    </row>
    <row r="61" spans="1:15" x14ac:dyDescent="0.25">
      <c r="A61" s="32">
        <v>2.1000001579523087E-2</v>
      </c>
      <c r="B61" s="1">
        <v>848.75832491824667</v>
      </c>
      <c r="C61" s="34">
        <v>1.6772717445877641</v>
      </c>
      <c r="D61">
        <v>59</v>
      </c>
      <c r="E61" s="13">
        <f t="shared" si="9"/>
        <v>328.00791944316063</v>
      </c>
      <c r="F61" s="13">
        <f t="shared" si="14"/>
        <v>671.99208055683937</v>
      </c>
      <c r="G61" s="13">
        <f t="shared" si="6"/>
        <v>141.21576914597165</v>
      </c>
      <c r="H61" s="5">
        <f t="shared" si="8"/>
        <v>530.77631141086772</v>
      </c>
      <c r="I61" s="22">
        <f t="shared" si="10"/>
        <v>0.30095618055981149</v>
      </c>
      <c r="L61" s="19">
        <f t="shared" si="11"/>
        <v>17.447031301995946</v>
      </c>
      <c r="M61" s="19">
        <f t="shared" si="7"/>
        <v>5.2507919027561751</v>
      </c>
      <c r="N61" s="19">
        <f t="shared" si="12"/>
        <v>5.1403942924437507E-2</v>
      </c>
      <c r="O61" s="19">
        <f t="shared" si="13"/>
        <v>16.017855351328738</v>
      </c>
    </row>
    <row r="62" spans="1:15" x14ac:dyDescent="0.25">
      <c r="A62" s="32">
        <v>2.200000174343586E-2</v>
      </c>
      <c r="B62" s="1">
        <v>846.18271469703222</v>
      </c>
      <c r="C62" s="34">
        <v>1.6738469940322191</v>
      </c>
      <c r="D62">
        <v>60</v>
      </c>
      <c r="E62" s="13">
        <f t="shared" si="9"/>
        <v>311.99006409183187</v>
      </c>
      <c r="F62" s="13">
        <f t="shared" si="14"/>
        <v>688.00993590816813</v>
      </c>
      <c r="G62" s="13">
        <f t="shared" si="6"/>
        <v>134.15849479901999</v>
      </c>
      <c r="H62" s="5">
        <f t="shared" si="8"/>
        <v>553.85144110914814</v>
      </c>
      <c r="I62" s="22">
        <f t="shared" si="10"/>
        <v>0.30070363811674045</v>
      </c>
      <c r="L62" s="19">
        <f t="shared" si="11"/>
        <v>17.173014136828865</v>
      </c>
      <c r="M62" s="19">
        <f t="shared" si="7"/>
        <v>5.1639878283746548</v>
      </c>
      <c r="N62" s="19">
        <f t="shared" si="12"/>
        <v>5.0576017049551836E-2</v>
      </c>
      <c r="O62" s="19">
        <f t="shared" si="13"/>
        <v>14.990254060759295</v>
      </c>
    </row>
    <row r="63" spans="1:15" x14ac:dyDescent="0.25">
      <c r="A63" s="32">
        <v>2.3000001907348633E-2</v>
      </c>
      <c r="B63" s="1">
        <v>843.56302350261103</v>
      </c>
      <c r="C63" s="34">
        <v>1.6704257434778214</v>
      </c>
      <c r="D63">
        <v>61</v>
      </c>
      <c r="E63" s="13">
        <f t="shared" si="9"/>
        <v>296.99981003107257</v>
      </c>
      <c r="F63" s="13">
        <f t="shared" si="14"/>
        <v>703.00018996892743</v>
      </c>
      <c r="G63" s="13">
        <f t="shared" si="6"/>
        <v>126.93857216684307</v>
      </c>
      <c r="H63" s="5">
        <f t="shared" si="8"/>
        <v>576.06161780208436</v>
      </c>
      <c r="I63" s="22">
        <f t="shared" si="10"/>
        <v>0.29942693914320268</v>
      </c>
      <c r="L63" s="19">
        <f t="shared" si="11"/>
        <v>16.909268288600249</v>
      </c>
      <c r="M63" s="19">
        <f t="shared" si="7"/>
        <v>5.0630904468067932</v>
      </c>
      <c r="N63" s="19">
        <f t="shared" si="12"/>
        <v>4.961276290557326E-2</v>
      </c>
      <c r="O63" s="19">
        <f t="shared" si="13"/>
        <v>13.998232100168307</v>
      </c>
    </row>
    <row r="64" spans="1:15" x14ac:dyDescent="0.25">
      <c r="A64" s="32">
        <v>2.4000002071261406E-2</v>
      </c>
      <c r="B64" s="1">
        <v>840.89853039013337</v>
      </c>
      <c r="C64" s="34">
        <v>1.6670079929245709</v>
      </c>
      <c r="D64">
        <v>62</v>
      </c>
      <c r="E64" s="13">
        <f t="shared" si="9"/>
        <v>283.00157793090432</v>
      </c>
      <c r="F64" s="13">
        <f t="shared" si="14"/>
        <v>716.99842206909568</v>
      </c>
      <c r="G64" s="13">
        <f t="shared" si="6"/>
        <v>119.67500366318029</v>
      </c>
      <c r="H64" s="5">
        <f t="shared" si="8"/>
        <v>597.32341840591539</v>
      </c>
      <c r="I64" s="22">
        <f t="shared" si="10"/>
        <v>0.29719881694987138</v>
      </c>
      <c r="L64" s="19">
        <f t="shared" si="11"/>
        <v>16.656784406429754</v>
      </c>
      <c r="M64" s="19">
        <f t="shared" si="7"/>
        <v>4.9503766197799886</v>
      </c>
      <c r="N64" s="19">
        <f t="shared" si="12"/>
        <v>4.8535542984179614E-2</v>
      </c>
      <c r="O64" s="19">
        <f t="shared" si="13"/>
        <v>13.04885348774326</v>
      </c>
    </row>
    <row r="65" spans="1:15" x14ac:dyDescent="0.25">
      <c r="A65" s="32">
        <v>2.5000002235174179E-2</v>
      </c>
      <c r="B65" s="1">
        <v>838.1885090013493</v>
      </c>
      <c r="C65" s="34">
        <v>1.663593742372468</v>
      </c>
      <c r="D65">
        <v>63</v>
      </c>
      <c r="E65" s="13">
        <f t="shared" si="9"/>
        <v>269.95272444316106</v>
      </c>
      <c r="F65" s="13">
        <f t="shared" si="14"/>
        <v>730.04727555683894</v>
      </c>
      <c r="G65" s="13">
        <f t="shared" si="6"/>
        <v>112.47095288315575</v>
      </c>
      <c r="H65" s="5">
        <f t="shared" si="8"/>
        <v>617.57632267368319</v>
      </c>
      <c r="I65" s="22">
        <f t="shared" si="10"/>
        <v>0.2941003906177751</v>
      </c>
      <c r="L65" s="19">
        <f t="shared" si="11"/>
        <v>16.416281168250013</v>
      </c>
      <c r="M65" s="19">
        <f t="shared" si="7"/>
        <v>4.8280347040735538</v>
      </c>
      <c r="N65" s="19">
        <f t="shared" si="12"/>
        <v>4.7364924310680956E-2</v>
      </c>
      <c r="O65" s="19">
        <f t="shared" si="13"/>
        <v>12.146975842676815</v>
      </c>
    </row>
    <row r="66" spans="1:15" x14ac:dyDescent="0.25">
      <c r="A66" s="32">
        <v>2.6000002399086952E-2</v>
      </c>
      <c r="B66" s="1">
        <v>835.43222807136931</v>
      </c>
      <c r="C66" s="34">
        <v>1.6601829918215127</v>
      </c>
      <c r="D66">
        <v>64</v>
      </c>
      <c r="E66" s="13">
        <f t="shared" ref="E66:E129" si="15">$B$3-F66</f>
        <v>257.80574860048421</v>
      </c>
      <c r="F66" s="13">
        <f t="shared" si="14"/>
        <v>742.19425139951579</v>
      </c>
      <c r="G66" s="13">
        <f t="shared" si="6"/>
        <v>105.41262763429029</v>
      </c>
      <c r="H66" s="5">
        <f t="shared" si="8"/>
        <v>636.7816237652255</v>
      </c>
      <c r="I66" s="22">
        <f t="shared" ref="I66:I67" si="16">G66/(E66+G66)</f>
        <v>0.29021832190052638</v>
      </c>
      <c r="L66" s="19">
        <f t="shared" si="11"/>
        <v>16.188218217787949</v>
      </c>
      <c r="M66" s="19">
        <f t="shared" si="7"/>
        <v>4.698117525725948</v>
      </c>
      <c r="N66" s="19">
        <f t="shared" ref="N66:N129" si="17">1-(1-$B$7)^M66</f>
        <v>4.612024553216354E-2</v>
      </c>
      <c r="O66" s="19">
        <f t="shared" ref="O66:O67" si="18">E66*(1-B$2)*N66</f>
        <v>11.295561203804681</v>
      </c>
    </row>
    <row r="67" spans="1:15" x14ac:dyDescent="0.25">
      <c r="A67" s="32">
        <v>2.7000002562999725E-2</v>
      </c>
      <c r="B67" s="1">
        <v>832.6289519789691</v>
      </c>
      <c r="C67" s="34">
        <v>1.6567757412717043</v>
      </c>
      <c r="D67">
        <v>65</v>
      </c>
      <c r="E67" s="13">
        <f t="shared" si="9"/>
        <v>246.5101873966795</v>
      </c>
      <c r="F67" s="13">
        <f t="shared" ref="F67:F130" si="19">F66+O66</f>
        <v>753.4898126033205</v>
      </c>
      <c r="G67" s="13">
        <f t="shared" ref="G67:G130" si="20">F67-H67</f>
        <v>98.56922702696545</v>
      </c>
      <c r="H67" s="5">
        <f t="shared" ref="H67:H130" si="21">H66+O59</f>
        <v>654.92058557635505</v>
      </c>
      <c r="I67" s="22">
        <f t="shared" si="16"/>
        <v>0.28564215339126142</v>
      </c>
      <c r="L67" s="19">
        <f t="shared" ref="L67:L130" si="22">$B$5*(1-B$2)*((1-H67/$B$3)*(1-$B$6)+$B$6)</f>
        <v>15.972818046280782</v>
      </c>
      <c r="M67" s="19">
        <f t="shared" ref="M67:M130" si="23">I67*L67</f>
        <v>4.5625101424664436</v>
      </c>
      <c r="N67" s="19">
        <f t="shared" si="12"/>
        <v>4.4819316740723814E-2</v>
      </c>
      <c r="O67" s="19">
        <f t="shared" si="18"/>
        <v>10.495997260309613</v>
      </c>
    </row>
    <row r="68" spans="1:15" x14ac:dyDescent="0.25">
      <c r="A68" s="32">
        <v>2.8000002726912498E-2</v>
      </c>
      <c r="B68" s="1">
        <v>829.77794134241469</v>
      </c>
      <c r="C68" s="34">
        <v>1.6533719907230437</v>
      </c>
      <c r="D68">
        <v>66</v>
      </c>
      <c r="E68" s="13">
        <f t="shared" si="15"/>
        <v>236.01419013636985</v>
      </c>
      <c r="F68" s="13">
        <f t="shared" si="19"/>
        <v>763.98580986363015</v>
      </c>
      <c r="G68" s="13">
        <f t="shared" si="20"/>
        <v>91.993729306790783</v>
      </c>
      <c r="H68" s="5">
        <f t="shared" si="21"/>
        <v>671.99208055683937</v>
      </c>
      <c r="I68" s="22">
        <f t="shared" ref="I68:I131" si="24">G68/(E68+G68)</f>
        <v>0.28046191525790909</v>
      </c>
      <c r="L68" s="19">
        <f t="shared" si="22"/>
        <v>15.770094043387532</v>
      </c>
      <c r="M68" s="19">
        <f t="shared" si="23"/>
        <v>4.4229107792058109</v>
      </c>
      <c r="N68" s="19">
        <f t="shared" si="17"/>
        <v>4.3478238114157963E-2</v>
      </c>
      <c r="O68" s="19">
        <f t="shared" ref="O68:O131" si="25">E68*(1-B$2)*N68</f>
        <v>9.7484070992157772</v>
      </c>
    </row>
    <row r="69" spans="1:15" x14ac:dyDescent="0.25">
      <c r="A69" s="32">
        <v>2.9000002890825272E-2</v>
      </c>
      <c r="B69" s="1">
        <v>826.87845366287399</v>
      </c>
      <c r="C69" s="34">
        <v>1.6499717401755303</v>
      </c>
      <c r="D69">
        <v>67</v>
      </c>
      <c r="E69" s="13">
        <f t="shared" si="9"/>
        <v>226.26578303715405</v>
      </c>
      <c r="F69" s="13">
        <f t="shared" si="19"/>
        <v>773.73421696284595</v>
      </c>
      <c r="G69" s="13">
        <f t="shared" si="20"/>
        <v>85.724281054677817</v>
      </c>
      <c r="H69" s="5">
        <f t="shared" si="21"/>
        <v>688.00993590816813</v>
      </c>
      <c r="I69" s="22">
        <f t="shared" si="24"/>
        <v>0.27476606123407038</v>
      </c>
      <c r="L69" s="19">
        <f t="shared" si="22"/>
        <v>15.579882011090502</v>
      </c>
      <c r="M69" s="19">
        <f t="shared" si="23"/>
        <v>4.2808228146788849</v>
      </c>
      <c r="N69" s="19">
        <f t="shared" si="12"/>
        <v>4.2111318885256654E-2</v>
      </c>
      <c r="O69" s="19">
        <f t="shared" si="25"/>
        <v>9.0519330151848951</v>
      </c>
    </row>
    <row r="70" spans="1:15" x14ac:dyDescent="0.25">
      <c r="A70" s="32">
        <v>3.0000003054738045E-2</v>
      </c>
      <c r="B70" s="1">
        <v>823.9297440174106</v>
      </c>
      <c r="C70" s="34">
        <v>1.6465749896291644</v>
      </c>
      <c r="D70">
        <v>68</v>
      </c>
      <c r="E70" s="13">
        <f t="shared" si="15"/>
        <v>217.21385002196917</v>
      </c>
      <c r="F70" s="13">
        <f t="shared" si="19"/>
        <v>782.78614997803083</v>
      </c>
      <c r="G70" s="13">
        <f t="shared" si="20"/>
        <v>79.785960009103405</v>
      </c>
      <c r="H70" s="5">
        <f t="shared" si="21"/>
        <v>703.00018996892743</v>
      </c>
      <c r="I70" s="22">
        <f t="shared" si="24"/>
        <v>0.26863976781923221</v>
      </c>
      <c r="L70" s="19">
        <f t="shared" si="22"/>
        <v>15.401872744118986</v>
      </c>
      <c r="M70" s="19">
        <f t="shared" si="23"/>
        <v>4.1375555179614851</v>
      </c>
      <c r="N70" s="19">
        <f t="shared" si="17"/>
        <v>4.0731076413238365E-2</v>
      </c>
      <c r="O70" s="19">
        <f t="shared" si="25"/>
        <v>8.4049862270955966</v>
      </c>
    </row>
    <row r="71" spans="1:15" x14ac:dyDescent="0.25">
      <c r="A71" s="32">
        <v>3.1000003218650818E-2</v>
      </c>
      <c r="B71" s="1">
        <v>820.931065803568</v>
      </c>
      <c r="C71" s="34">
        <v>1.643181739083946</v>
      </c>
      <c r="D71">
        <v>69</v>
      </c>
      <c r="E71" s="13">
        <f t="shared" si="9"/>
        <v>208.80886379487356</v>
      </c>
      <c r="F71" s="13">
        <f t="shared" si="19"/>
        <v>791.19113620512644</v>
      </c>
      <c r="G71" s="13">
        <f t="shared" si="20"/>
        <v>74.192714136030759</v>
      </c>
      <c r="H71" s="5">
        <f t="shared" si="21"/>
        <v>716.99842206909568</v>
      </c>
      <c r="I71" s="22">
        <f t="shared" si="24"/>
        <v>0.26216360586563631</v>
      </c>
      <c r="L71" s="19">
        <f t="shared" si="22"/>
        <v>15.235643737929488</v>
      </c>
      <c r="M71" s="19">
        <f t="shared" si="23"/>
        <v>3.9942313000197962</v>
      </c>
      <c r="N71" s="19">
        <f t="shared" si="12"/>
        <v>3.9348295553063628E-2</v>
      </c>
      <c r="O71" s="19">
        <f t="shared" si="25"/>
        <v>7.805459242365087</v>
      </c>
    </row>
    <row r="72" spans="1:15" x14ac:dyDescent="0.25">
      <c r="A72" s="32">
        <v>3.2000001519918442E-2</v>
      </c>
      <c r="B72" s="1">
        <v>817.88167726509664</v>
      </c>
      <c r="C72" s="34">
        <v>1.6397919948505164</v>
      </c>
      <c r="D72">
        <v>70</v>
      </c>
      <c r="E72" s="13">
        <f t="shared" si="15"/>
        <v>201.00340455250853</v>
      </c>
      <c r="F72" s="13">
        <f t="shared" si="19"/>
        <v>798.99659544749147</v>
      </c>
      <c r="G72" s="13">
        <f t="shared" si="20"/>
        <v>68.949319890652532</v>
      </c>
      <c r="H72" s="5">
        <f t="shared" si="21"/>
        <v>730.04727555683894</v>
      </c>
      <c r="I72" s="22">
        <f t="shared" si="24"/>
        <v>0.25541257282317192</v>
      </c>
      <c r="L72" s="19">
        <f t="shared" si="22"/>
        <v>15.080688602762537</v>
      </c>
      <c r="M72" s="19">
        <f t="shared" si="23"/>
        <v>3.8517974759766656</v>
      </c>
      <c r="N72" s="19">
        <f t="shared" si="17"/>
        <v>3.7972130414756E-2</v>
      </c>
      <c r="O72" s="19">
        <f t="shared" si="25"/>
        <v>7.2509011169039228</v>
      </c>
    </row>
    <row r="73" spans="1:15" x14ac:dyDescent="0.25">
      <c r="A73" s="32">
        <v>3.2999999821186066E-2</v>
      </c>
      <c r="B73" s="1">
        <v>814.7808253559208</v>
      </c>
      <c r="C73" s="34">
        <v>1.6364057506051957</v>
      </c>
      <c r="D73">
        <v>71</v>
      </c>
      <c r="E73" s="13">
        <f t="shared" si="9"/>
        <v>193.75250343560458</v>
      </c>
      <c r="F73" s="13">
        <f t="shared" si="19"/>
        <v>806.24749656439542</v>
      </c>
      <c r="G73" s="13">
        <f t="shared" si="20"/>
        <v>64.053245164879627</v>
      </c>
      <c r="H73" s="5">
        <f t="shared" si="21"/>
        <v>742.19425139951579</v>
      </c>
      <c r="I73" s="22">
        <f t="shared" si="24"/>
        <v>0.24845545730689467</v>
      </c>
      <c r="L73" s="19">
        <f t="shared" si="22"/>
        <v>14.936443264630748</v>
      </c>
      <c r="M73" s="19">
        <f t="shared" si="23"/>
        <v>3.7110408418523191</v>
      </c>
      <c r="N73" s="19">
        <f t="shared" si="12"/>
        <v>3.6610233219622867E-2</v>
      </c>
      <c r="O73" s="19">
        <f t="shared" si="25"/>
        <v>6.7386581207801006</v>
      </c>
    </row>
    <row r="74" spans="1:15" x14ac:dyDescent="0.25">
      <c r="A74" s="32">
        <v>3.399999812245369E-2</v>
      </c>
      <c r="B74" s="1">
        <v>811.62776345214888</v>
      </c>
      <c r="C74" s="34">
        <v>1.633023006347984</v>
      </c>
      <c r="D74">
        <v>72</v>
      </c>
      <c r="E74" s="13">
        <f t="shared" si="15"/>
        <v>187.01384531482449</v>
      </c>
      <c r="F74" s="13">
        <f t="shared" si="19"/>
        <v>812.98615468517551</v>
      </c>
      <c r="G74" s="13">
        <f t="shared" si="20"/>
        <v>59.496342081855005</v>
      </c>
      <c r="H74" s="5">
        <f t="shared" si="21"/>
        <v>753.4898126033205</v>
      </c>
      <c r="I74" s="22">
        <f t="shared" si="24"/>
        <v>0.24135449617793939</v>
      </c>
      <c r="L74" s="19">
        <f t="shared" si="22"/>
        <v>14.80230847533557</v>
      </c>
      <c r="M74" s="19">
        <f t="shared" si="23"/>
        <v>3.5726037043350587</v>
      </c>
      <c r="N74" s="19">
        <f t="shared" si="17"/>
        <v>3.5268897854649928E-2</v>
      </c>
      <c r="O74" s="19">
        <f t="shared" si="25"/>
        <v>6.2659835974231548</v>
      </c>
    </row>
    <row r="75" spans="1:15" x14ac:dyDescent="0.25">
      <c r="A75" s="32">
        <v>3.4999996423721313E-2</v>
      </c>
      <c r="B75" s="1">
        <v>808.42174678392939</v>
      </c>
      <c r="C75" s="34">
        <v>1.6296437620788813</v>
      </c>
      <c r="D75">
        <v>73</v>
      </c>
      <c r="E75" s="13">
        <f t="shared" si="9"/>
        <v>180.74786171740129</v>
      </c>
      <c r="F75" s="13">
        <f t="shared" si="19"/>
        <v>819.25213828259871</v>
      </c>
      <c r="G75" s="13">
        <f t="shared" si="20"/>
        <v>55.266328418968556</v>
      </c>
      <c r="H75" s="5">
        <f t="shared" si="21"/>
        <v>763.98580986363015</v>
      </c>
      <c r="I75" s="22">
        <f t="shared" si="24"/>
        <v>0.23416527788873825</v>
      </c>
      <c r="L75" s="19">
        <f t="shared" si="22"/>
        <v>14.67766850786939</v>
      </c>
      <c r="M75" s="19">
        <f t="shared" si="23"/>
        <v>3.4370003249040177</v>
      </c>
      <c r="N75" s="19">
        <f t="shared" si="12"/>
        <v>3.3953208555021486E-2</v>
      </c>
      <c r="O75" s="19">
        <f t="shared" si="25"/>
        <v>5.8301213525268549</v>
      </c>
    </row>
    <row r="76" spans="1:15" x14ac:dyDescent="0.25">
      <c r="A76" s="32">
        <v>3.5999994724988937E-2</v>
      </c>
      <c r="B76" s="1">
        <v>805.16203346725865</v>
      </c>
      <c r="C76" s="34">
        <v>1.6262680177978874</v>
      </c>
      <c r="D76">
        <v>74</v>
      </c>
      <c r="E76" s="13">
        <f t="shared" si="15"/>
        <v>174.91774036487448</v>
      </c>
      <c r="F76" s="13">
        <f t="shared" si="19"/>
        <v>825.08225963512552</v>
      </c>
      <c r="G76" s="13">
        <f t="shared" si="20"/>
        <v>51.348042672279576</v>
      </c>
      <c r="H76" s="5">
        <f t="shared" si="21"/>
        <v>773.73421696284595</v>
      </c>
      <c r="I76" s="22">
        <f t="shared" si="24"/>
        <v>0.22693684384371962</v>
      </c>
      <c r="L76" s="19">
        <f t="shared" si="22"/>
        <v>14.561906173566204</v>
      </c>
      <c r="M76" s="19">
        <f t="shared" si="23"/>
        <v>3.3046330273774904</v>
      </c>
      <c r="N76" s="19">
        <f t="shared" si="17"/>
        <v>3.2667186696804573E-2</v>
      </c>
      <c r="O76" s="19">
        <f t="shared" si="25"/>
        <v>5.4283669570284161</v>
      </c>
    </row>
    <row r="77" spans="1:15" x14ac:dyDescent="0.25">
      <c r="A77" s="32">
        <v>3.6999993026256561E-2</v>
      </c>
      <c r="B77" s="1">
        <v>801.84788559861067</v>
      </c>
      <c r="C77" s="34">
        <v>1.6228957735050022</v>
      </c>
      <c r="D77">
        <v>75</v>
      </c>
      <c r="E77" s="13">
        <f t="shared" si="9"/>
        <v>169.48937340784607</v>
      </c>
      <c r="F77" s="13">
        <f t="shared" si="19"/>
        <v>830.51062659215393</v>
      </c>
      <c r="G77" s="13">
        <f t="shared" si="20"/>
        <v>47.724476614123091</v>
      </c>
      <c r="H77" s="5">
        <f t="shared" si="21"/>
        <v>782.78614997803083</v>
      </c>
      <c r="I77" s="22">
        <f t="shared" si="24"/>
        <v>0.21971194106313297</v>
      </c>
      <c r="L77" s="19">
        <f t="shared" si="22"/>
        <v>14.454414469010883</v>
      </c>
      <c r="M77" s="19">
        <f t="shared" si="23"/>
        <v>3.1758074599174155</v>
      </c>
      <c r="N77" s="19">
        <f t="shared" si="12"/>
        <v>3.1413930852488336E-2</v>
      </c>
      <c r="O77" s="19">
        <f t="shared" si="25"/>
        <v>5.0581110836423697</v>
      </c>
    </row>
    <row r="78" spans="1:15" x14ac:dyDescent="0.25">
      <c r="A78" s="32">
        <v>3.7999991327524185E-2</v>
      </c>
      <c r="B78" s="1">
        <v>798.47857041428108</v>
      </c>
      <c r="C78" s="34">
        <v>1.6195270292002262</v>
      </c>
      <c r="D78">
        <v>76</v>
      </c>
      <c r="E78" s="13">
        <f t="shared" si="15"/>
        <v>164.43126232420366</v>
      </c>
      <c r="F78" s="13">
        <f t="shared" si="19"/>
        <v>835.56873767579634</v>
      </c>
      <c r="G78" s="13">
        <f t="shared" si="20"/>
        <v>44.377601470669902</v>
      </c>
      <c r="H78" s="5">
        <f t="shared" si="21"/>
        <v>791.19113620512644</v>
      </c>
      <c r="I78" s="22">
        <f t="shared" si="24"/>
        <v>0.21252738348437586</v>
      </c>
      <c r="L78" s="19">
        <f t="shared" si="22"/>
        <v>14.354605257564122</v>
      </c>
      <c r="M78" s="19">
        <f t="shared" si="23"/>
        <v>3.050746696341168</v>
      </c>
      <c r="N78" s="19">
        <f t="shared" si="17"/>
        <v>3.0195747021320662E-2</v>
      </c>
      <c r="O78" s="19">
        <f t="shared" si="25"/>
        <v>4.7168685595611661</v>
      </c>
    </row>
    <row r="79" spans="1:15" x14ac:dyDescent="0.25">
      <c r="A79" s="32">
        <v>3.8999989628791809E-2</v>
      </c>
      <c r="B79" s="1">
        <v>795.05336151576398</v>
      </c>
      <c r="C79" s="34">
        <v>1.616161784883559</v>
      </c>
      <c r="D79">
        <v>77</v>
      </c>
      <c r="E79" s="13">
        <f t="shared" si="9"/>
        <v>159.71439376464252</v>
      </c>
      <c r="F79" s="13">
        <f t="shared" si="19"/>
        <v>840.28560623535748</v>
      </c>
      <c r="G79" s="13">
        <f t="shared" si="20"/>
        <v>41.289010787866005</v>
      </c>
      <c r="H79" s="5">
        <f t="shared" si="21"/>
        <v>798.99659544749147</v>
      </c>
      <c r="I79" s="22">
        <f t="shared" si="24"/>
        <v>0.20541448479336574</v>
      </c>
      <c r="L79" s="19">
        <f t="shared" si="22"/>
        <v>14.261915429061037</v>
      </c>
      <c r="M79" s="19">
        <f t="shared" si="23"/>
        <v>2.9296040100271266</v>
      </c>
      <c r="N79" s="19">
        <f t="shared" si="12"/>
        <v>2.9014267310602304E-2</v>
      </c>
      <c r="O79" s="19">
        <f t="shared" si="25"/>
        <v>4.4022963083362248</v>
      </c>
    </row>
    <row r="80" spans="1:15" x14ac:dyDescent="0.25">
      <c r="A80" s="32">
        <v>3.9999987930059433E-2</v>
      </c>
      <c r="B80" s="1">
        <v>791.5715401626245</v>
      </c>
      <c r="C80" s="34">
        <v>1.6128000405550007</v>
      </c>
      <c r="D80">
        <v>78</v>
      </c>
      <c r="E80" s="13">
        <f t="shared" si="15"/>
        <v>155.31209745630633</v>
      </c>
      <c r="F80" s="13">
        <f t="shared" si="19"/>
        <v>844.68790254369367</v>
      </c>
      <c r="G80" s="13">
        <f t="shared" si="20"/>
        <v>38.440405979298248</v>
      </c>
      <c r="H80" s="5">
        <f t="shared" si="21"/>
        <v>806.24749656439542</v>
      </c>
      <c r="I80" s="22">
        <f t="shared" si="24"/>
        <v>0.19839953186501288</v>
      </c>
      <c r="L80" s="19">
        <f t="shared" si="22"/>
        <v>14.175810978297806</v>
      </c>
      <c r="M80" s="19">
        <f t="shared" si="23"/>
        <v>2.8124742619011949</v>
      </c>
      <c r="N80" s="19">
        <f t="shared" si="17"/>
        <v>2.7870556352424525E-2</v>
      </c>
      <c r="O80" s="19">
        <f t="shared" si="25"/>
        <v>4.1122028361507734</v>
      </c>
    </row>
    <row r="81" spans="1:15" x14ac:dyDescent="0.25">
      <c r="A81" s="32">
        <v>4.0999986231327057E-2</v>
      </c>
      <c r="B81" s="1">
        <v>788.03239663424029</v>
      </c>
      <c r="C81" s="34">
        <v>1.6094417962145511</v>
      </c>
      <c r="D81">
        <v>79</v>
      </c>
      <c r="E81" s="13">
        <f t="shared" si="9"/>
        <v>151.19989462015553</v>
      </c>
      <c r="F81" s="13">
        <f t="shared" si="19"/>
        <v>848.80010537984447</v>
      </c>
      <c r="G81" s="13">
        <f t="shared" si="20"/>
        <v>35.813950694668961</v>
      </c>
      <c r="H81" s="5">
        <f t="shared" si="21"/>
        <v>812.98615468517551</v>
      </c>
      <c r="I81" s="22">
        <f t="shared" si="24"/>
        <v>0.19150427410536758</v>
      </c>
      <c r="L81" s="19">
        <f t="shared" si="22"/>
        <v>14.09578941311354</v>
      </c>
      <c r="M81" s="19">
        <f t="shared" si="23"/>
        <v>2.6994039195004338</v>
      </c>
      <c r="N81" s="19">
        <f t="shared" si="12"/>
        <v>2.6765205456161012E-2</v>
      </c>
      <c r="O81" s="19">
        <f t="shared" si="25"/>
        <v>3.844551432235439</v>
      </c>
    </row>
    <row r="82" spans="1:15" x14ac:dyDescent="0.25">
      <c r="A82" s="32">
        <v>4.1999984532594681E-2</v>
      </c>
      <c r="B82" s="1">
        <v>784.43523166122316</v>
      </c>
      <c r="C82" s="34">
        <v>1.6060870518622106</v>
      </c>
      <c r="D82">
        <v>80</v>
      </c>
      <c r="E82" s="13">
        <f t="shared" si="15"/>
        <v>147.35534318792008</v>
      </c>
      <c r="F82" s="13">
        <f t="shared" si="19"/>
        <v>852.64465681207992</v>
      </c>
      <c r="G82" s="13">
        <f t="shared" si="20"/>
        <v>33.392518529481208</v>
      </c>
      <c r="H82" s="5">
        <f t="shared" si="21"/>
        <v>819.25213828259871</v>
      </c>
      <c r="I82" s="22">
        <f t="shared" si="24"/>
        <v>0.18474640978984475</v>
      </c>
      <c r="L82" s="19">
        <f t="shared" si="22"/>
        <v>14.021380857894139</v>
      </c>
      <c r="M82" s="19">
        <f t="shared" si="23"/>
        <v>2.5903997737919955</v>
      </c>
      <c r="N82" s="19">
        <f t="shared" si="17"/>
        <v>2.5698414978828521E-2</v>
      </c>
      <c r="O82" s="19">
        <f t="shared" si="25"/>
        <v>3.5974588206613194</v>
      </c>
    </row>
    <row r="83" spans="1:15" x14ac:dyDescent="0.25">
      <c r="A83" s="32">
        <v>4.2999982833862305E-2</v>
      </c>
      <c r="B83" s="1">
        <v>780.77935792755977</v>
      </c>
      <c r="C83" s="34">
        <v>1.6027358074979787</v>
      </c>
      <c r="D83">
        <v>81</v>
      </c>
      <c r="E83" s="13">
        <f t="shared" si="9"/>
        <v>143.75788436725873</v>
      </c>
      <c r="F83" s="13">
        <f t="shared" si="19"/>
        <v>856.24211563274127</v>
      </c>
      <c r="G83" s="13">
        <f t="shared" si="20"/>
        <v>31.15985599761575</v>
      </c>
      <c r="H83" s="5">
        <f t="shared" si="21"/>
        <v>825.08225963512552</v>
      </c>
      <c r="I83" s="22">
        <f t="shared" si="24"/>
        <v>0.17814005562052762</v>
      </c>
      <c r="L83" s="19">
        <f t="shared" si="22"/>
        <v>13.952148166832885</v>
      </c>
      <c r="M83" s="19">
        <f t="shared" si="23"/>
        <v>2.4854364504654525</v>
      </c>
      <c r="N83" s="19">
        <f t="shared" si="12"/>
        <v>2.4670065696957177E-2</v>
      </c>
      <c r="O83" s="19">
        <f t="shared" si="25"/>
        <v>3.3691906292060536</v>
      </c>
    </row>
    <row r="84" spans="1:15" x14ac:dyDescent="0.25">
      <c r="A84" s="32">
        <v>4.3999981135129929E-2</v>
      </c>
      <c r="B84" s="1">
        <v>777.06410164407271</v>
      </c>
      <c r="C84" s="34">
        <v>1.599388063121856</v>
      </c>
      <c r="D84">
        <v>82</v>
      </c>
      <c r="E84" s="13">
        <f t="shared" si="15"/>
        <v>140.38869373805267</v>
      </c>
      <c r="F84" s="13">
        <f t="shared" si="19"/>
        <v>859.61130626194733</v>
      </c>
      <c r="G84" s="13">
        <f t="shared" si="20"/>
        <v>29.100679669793408</v>
      </c>
      <c r="H84" s="5">
        <f t="shared" si="21"/>
        <v>830.51062659215393</v>
      </c>
      <c r="I84" s="22">
        <f t="shared" si="24"/>
        <v>0.1716961900600564</v>
      </c>
      <c r="L84" s="19">
        <f t="shared" si="22"/>
        <v>13.887686309218171</v>
      </c>
      <c r="M84" s="19">
        <f t="shared" si="23"/>
        <v>2.3844628280419662</v>
      </c>
      <c r="N84" s="19">
        <f t="shared" si="17"/>
        <v>2.3679780130933747E-2</v>
      </c>
      <c r="O84" s="19">
        <f t="shared" si="25"/>
        <v>3.1581547305567788</v>
      </c>
    </row>
    <row r="85" spans="1:15" x14ac:dyDescent="0.25">
      <c r="A85" s="32">
        <v>4.4999979436397552E-2</v>
      </c>
      <c r="B85" s="1">
        <v>773.28880419362315</v>
      </c>
      <c r="C85" s="34">
        <v>1.5960438187338419</v>
      </c>
      <c r="D85">
        <v>83</v>
      </c>
      <c r="E85" s="13">
        <f t="shared" si="9"/>
        <v>137.23053900749585</v>
      </c>
      <c r="F85" s="13">
        <f t="shared" si="19"/>
        <v>862.76946099250415</v>
      </c>
      <c r="G85" s="13">
        <f t="shared" si="20"/>
        <v>27.200723316707808</v>
      </c>
      <c r="H85" s="5">
        <f t="shared" si="21"/>
        <v>835.56873767579634</v>
      </c>
      <c r="I85" s="22">
        <f t="shared" si="24"/>
        <v>0.16542306452088804</v>
      </c>
      <c r="L85" s="19">
        <f t="shared" si="22"/>
        <v>13.827621240099919</v>
      </c>
      <c r="M85" s="19">
        <f t="shared" si="23"/>
        <v>2.2874074805714506</v>
      </c>
      <c r="N85" s="19">
        <f t="shared" si="12"/>
        <v>2.2726974843609304E-2</v>
      </c>
      <c r="O85" s="19">
        <f t="shared" si="25"/>
        <v>2.9628932574083882</v>
      </c>
    </row>
    <row r="86" spans="1:15" x14ac:dyDescent="0.25">
      <c r="A86" s="32">
        <v>4.5999977737665176E-2</v>
      </c>
      <c r="B86" s="1">
        <v>769.45282384807842</v>
      </c>
      <c r="C86" s="34">
        <v>1.592703074333937</v>
      </c>
      <c r="D86">
        <v>84</v>
      </c>
      <c r="E86" s="13">
        <f t="shared" si="15"/>
        <v>134.26764575008747</v>
      </c>
      <c r="F86" s="13">
        <f t="shared" si="19"/>
        <v>865.73235424991253</v>
      </c>
      <c r="G86" s="13">
        <f t="shared" si="20"/>
        <v>25.446748014555055</v>
      </c>
      <c r="H86" s="5">
        <f t="shared" si="21"/>
        <v>840.28560623535748</v>
      </c>
      <c r="I86" s="22">
        <f t="shared" si="24"/>
        <v>0.15932657924403329</v>
      </c>
      <c r="L86" s="19">
        <f t="shared" si="22"/>
        <v>13.771608425955128</v>
      </c>
      <c r="M86" s="19">
        <f t="shared" si="23"/>
        <v>2.1941832611957364</v>
      </c>
      <c r="N86" s="19">
        <f t="shared" si="17"/>
        <v>2.1810904738960413E-2</v>
      </c>
      <c r="O86" s="19">
        <f t="shared" si="25"/>
        <v>2.7820738894306585</v>
      </c>
    </row>
    <row r="87" spans="1:15" x14ac:dyDescent="0.25">
      <c r="A87" s="32">
        <v>4.69999760389328E-2</v>
      </c>
      <c r="B87" s="1">
        <v>765.55553755695576</v>
      </c>
      <c r="C87" s="34">
        <v>1.5893658299221407</v>
      </c>
      <c r="D87">
        <v>85</v>
      </c>
      <c r="E87" s="13">
        <f t="shared" si="9"/>
        <v>131.48557186065682</v>
      </c>
      <c r="F87" s="13">
        <f t="shared" si="19"/>
        <v>868.51442813934318</v>
      </c>
      <c r="G87" s="13">
        <f t="shared" si="20"/>
        <v>23.826525595649514</v>
      </c>
      <c r="H87" s="5">
        <f t="shared" si="21"/>
        <v>844.68790254369367</v>
      </c>
      <c r="I87" s="22">
        <f t="shared" si="24"/>
        <v>0.15341062277748574</v>
      </c>
      <c r="L87" s="19">
        <f t="shared" si="22"/>
        <v>13.71933115729364</v>
      </c>
      <c r="M87" s="19">
        <f t="shared" si="23"/>
        <v>2.1046911369309815</v>
      </c>
      <c r="N87" s="19">
        <f t="shared" si="12"/>
        <v>2.0930700346614151E-2</v>
      </c>
      <c r="O87" s="19">
        <f t="shared" si="25"/>
        <v>2.6144808492926788</v>
      </c>
    </row>
    <row r="88" spans="1:15" x14ac:dyDescent="0.25">
      <c r="A88" s="32">
        <v>4.7999974340200424E-2</v>
      </c>
      <c r="B88" s="1">
        <v>761.5963428071791</v>
      </c>
      <c r="C88" s="34">
        <v>1.5860320854984533</v>
      </c>
      <c r="D88">
        <v>86</v>
      </c>
      <c r="E88" s="13">
        <f t="shared" si="15"/>
        <v>128.87109101136411</v>
      </c>
      <c r="F88" s="13">
        <f t="shared" si="19"/>
        <v>871.12890898863589</v>
      </c>
      <c r="G88" s="13">
        <f t="shared" si="20"/>
        <v>22.328803608791418</v>
      </c>
      <c r="H88" s="5">
        <f t="shared" si="21"/>
        <v>848.80010537984447</v>
      </c>
      <c r="I88" s="22">
        <f t="shared" si="24"/>
        <v>0.14767737546964468</v>
      </c>
      <c r="L88" s="19">
        <f t="shared" si="22"/>
        <v>13.670498748614346</v>
      </c>
      <c r="M88" s="19">
        <f t="shared" si="23"/>
        <v>2.0188233765564285</v>
      </c>
      <c r="N88" s="19">
        <f t="shared" si="17"/>
        <v>2.0085399011727012E-2</v>
      </c>
      <c r="O88" s="19">
        <f t="shared" si="25"/>
        <v>2.4590059198378427</v>
      </c>
    </row>
    <row r="89" spans="1:15" x14ac:dyDescent="0.25">
      <c r="A89" s="32">
        <v>4.8999972641468048E-2</v>
      </c>
      <c r="B89" s="1">
        <v>757.57465955313762</v>
      </c>
      <c r="C89" s="34">
        <v>1.5827018410628748</v>
      </c>
      <c r="D89">
        <v>87</v>
      </c>
      <c r="E89" s="13">
        <f t="shared" si="9"/>
        <v>126.41208509152625</v>
      </c>
      <c r="F89" s="13">
        <f t="shared" si="19"/>
        <v>873.58791490847375</v>
      </c>
      <c r="G89" s="13">
        <f t="shared" si="20"/>
        <v>20.943258096393834</v>
      </c>
      <c r="H89" s="5">
        <f t="shared" si="21"/>
        <v>852.64465681207992</v>
      </c>
      <c r="I89" s="22">
        <f t="shared" si="24"/>
        <v>0.14212757843253235</v>
      </c>
      <c r="L89" s="19">
        <f t="shared" si="22"/>
        <v>13.624844700356549</v>
      </c>
      <c r="M89" s="19">
        <f t="shared" si="23"/>
        <v>1.9364661837809982</v>
      </c>
      <c r="N89" s="19">
        <f t="shared" si="12"/>
        <v>1.9273970829276177E-2</v>
      </c>
      <c r="O89" s="19">
        <f t="shared" si="25"/>
        <v>2.3146396984959519</v>
      </c>
    </row>
    <row r="90" spans="1:15" x14ac:dyDescent="0.25">
      <c r="A90" s="32">
        <v>4.9999970942735672E-2</v>
      </c>
      <c r="B90" s="1">
        <v>753.48993221568151</v>
      </c>
      <c r="C90" s="34">
        <v>1.5793750966154054</v>
      </c>
      <c r="D90">
        <v>88</v>
      </c>
      <c r="E90" s="13">
        <f t="shared" si="15"/>
        <v>124.09744539303028</v>
      </c>
      <c r="F90" s="13">
        <f t="shared" si="19"/>
        <v>875.90255460696972</v>
      </c>
      <c r="G90" s="13">
        <f t="shared" si="20"/>
        <v>19.660438974228441</v>
      </c>
      <c r="H90" s="5">
        <f t="shared" si="21"/>
        <v>856.24211563274127</v>
      </c>
      <c r="I90" s="22">
        <f t="shared" si="24"/>
        <v>0.13676077010149826</v>
      </c>
      <c r="L90" s="19">
        <f t="shared" si="22"/>
        <v>13.582124876861197</v>
      </c>
      <c r="M90" s="19">
        <f t="shared" si="23"/>
        <v>1.8575018577742546</v>
      </c>
      <c r="N90" s="19">
        <f t="shared" si="17"/>
        <v>1.8495340075760813E-2</v>
      </c>
      <c r="O90" s="19">
        <f t="shared" si="25"/>
        <v>2.1804632323233895</v>
      </c>
    </row>
    <row r="91" spans="1:15" x14ac:dyDescent="0.25">
      <c r="A91" s="32">
        <v>5.0999969244003296E-2</v>
      </c>
      <c r="B91" s="1">
        <v>749.34163174857497</v>
      </c>
      <c r="C91" s="34">
        <v>1.5760518521560447</v>
      </c>
      <c r="D91">
        <v>89</v>
      </c>
      <c r="E91" s="13">
        <f t="shared" si="9"/>
        <v>121.91698216070688</v>
      </c>
      <c r="F91" s="13">
        <f t="shared" si="19"/>
        <v>878.08301783929312</v>
      </c>
      <c r="G91" s="13">
        <f t="shared" si="20"/>
        <v>18.471711577345786</v>
      </c>
      <c r="H91" s="5">
        <f t="shared" si="21"/>
        <v>859.61130626194733</v>
      </c>
      <c r="I91" s="22">
        <f t="shared" si="24"/>
        <v>0.13157549290836509</v>
      </c>
      <c r="L91" s="19">
        <f t="shared" si="22"/>
        <v>13.542115738139374</v>
      </c>
      <c r="M91" s="19">
        <f t="shared" si="23"/>
        <v>1.7818105532678166</v>
      </c>
      <c r="N91" s="19">
        <f t="shared" si="12"/>
        <v>1.7748402805280783E-2</v>
      </c>
      <c r="O91" s="19">
        <f t="shared" si="25"/>
        <v>2.055640122782834</v>
      </c>
    </row>
    <row r="92" spans="1:15" x14ac:dyDescent="0.25">
      <c r="A92" s="32">
        <v>5.199996754527092E-2</v>
      </c>
      <c r="B92" s="1">
        <v>745.12925777011299</v>
      </c>
      <c r="C92" s="34">
        <v>1.5727321076847929</v>
      </c>
      <c r="D92">
        <v>90</v>
      </c>
      <c r="E92" s="13">
        <f t="shared" si="15"/>
        <v>119.86134203792403</v>
      </c>
      <c r="F92" s="13">
        <f t="shared" si="19"/>
        <v>880.13865796207597</v>
      </c>
      <c r="G92" s="13">
        <f t="shared" si="20"/>
        <v>17.369196969571817</v>
      </c>
      <c r="H92" s="5">
        <f t="shared" si="21"/>
        <v>862.76946099250415</v>
      </c>
      <c r="I92" s="22">
        <f t="shared" si="24"/>
        <v>0.12656947276599323</v>
      </c>
      <c r="L92" s="19">
        <f t="shared" si="22"/>
        <v>13.504612650714012</v>
      </c>
      <c r="M92" s="19">
        <f t="shared" si="23"/>
        <v>1.7092717031098348</v>
      </c>
      <c r="N92" s="19">
        <f t="shared" si="17"/>
        <v>1.703204119457713E-2</v>
      </c>
      <c r="O92" s="19">
        <f t="shared" si="25"/>
        <v>1.9394091494658605</v>
      </c>
    </row>
    <row r="93" spans="1:15" x14ac:dyDescent="0.25">
      <c r="A93" s="32">
        <v>5.2999965846538544E-2</v>
      </c>
      <c r="B93" s="1">
        <v>740.85234075749031</v>
      </c>
      <c r="C93" s="34">
        <v>1.5694158632016499</v>
      </c>
      <c r="D93">
        <v>91</v>
      </c>
      <c r="E93" s="13">
        <f t="shared" si="9"/>
        <v>117.92193288845817</v>
      </c>
      <c r="F93" s="13">
        <f t="shared" si="19"/>
        <v>882.07806711154183</v>
      </c>
      <c r="G93" s="13">
        <f t="shared" si="20"/>
        <v>16.345712861629295</v>
      </c>
      <c r="H93" s="5">
        <f t="shared" si="21"/>
        <v>865.73235424991253</v>
      </c>
      <c r="I93" s="22">
        <f t="shared" si="24"/>
        <v>0.12173977409310945</v>
      </c>
      <c r="L93" s="19">
        <f t="shared" si="22"/>
        <v>13.46942829328229</v>
      </c>
      <c r="M93" s="19">
        <f t="shared" si="23"/>
        <v>1.6397651575875227</v>
      </c>
      <c r="N93" s="19">
        <f t="shared" si="12"/>
        <v>1.6345135145012568E-2</v>
      </c>
      <c r="O93" s="19">
        <f t="shared" si="25"/>
        <v>1.8310774331418036</v>
      </c>
    </row>
    <row r="94" spans="1:15" x14ac:dyDescent="0.25">
      <c r="A94" s="32">
        <v>5.3999964147806168E-2</v>
      </c>
      <c r="B94" s="1">
        <v>736.51044430068316</v>
      </c>
      <c r="C94" s="34">
        <v>1.5661031187066161</v>
      </c>
      <c r="D94">
        <v>92</v>
      </c>
      <c r="E94" s="13">
        <f t="shared" si="15"/>
        <v>116.09085545531639</v>
      </c>
      <c r="F94" s="13">
        <f t="shared" si="19"/>
        <v>883.90914454468361</v>
      </c>
      <c r="G94" s="13">
        <f t="shared" si="20"/>
        <v>15.394716405340432</v>
      </c>
      <c r="H94" s="5">
        <f t="shared" si="21"/>
        <v>868.51442813934318</v>
      </c>
      <c r="I94" s="22">
        <f t="shared" si="24"/>
        <v>0.11708293303584016</v>
      </c>
      <c r="L94" s="19">
        <f t="shared" si="22"/>
        <v>13.436391165845299</v>
      </c>
      <c r="M94" s="19">
        <f t="shared" si="23"/>
        <v>1.5731720871140196</v>
      </c>
      <c r="N94" s="19">
        <f t="shared" si="17"/>
        <v>1.5686571579782926E-2</v>
      </c>
      <c r="O94" s="19">
        <f t="shared" si="25"/>
        <v>1.7300141381651508</v>
      </c>
    </row>
    <row r="95" spans="1:15" x14ac:dyDescent="0.25">
      <c r="A95" s="32">
        <v>5.4999962449073792E-2</v>
      </c>
      <c r="B95" s="1">
        <v>732.10316741257168</v>
      </c>
      <c r="C95" s="34">
        <v>1.5627938741996912</v>
      </c>
      <c r="D95">
        <v>93</v>
      </c>
      <c r="E95" s="13">
        <f t="shared" si="9"/>
        <v>114.3608413171512</v>
      </c>
      <c r="F95" s="13">
        <f t="shared" si="19"/>
        <v>885.6391586828488</v>
      </c>
      <c r="G95" s="13">
        <f t="shared" si="20"/>
        <v>14.510249694212916</v>
      </c>
      <c r="H95" s="5">
        <f t="shared" si="21"/>
        <v>871.12890898863589</v>
      </c>
      <c r="I95" s="22">
        <f t="shared" si="24"/>
        <v>0.11259507140304549</v>
      </c>
      <c r="L95" s="19">
        <f t="shared" si="22"/>
        <v>13.405344205759947</v>
      </c>
      <c r="M95" s="19">
        <f t="shared" si="23"/>
        <v>1.5093756880299434</v>
      </c>
      <c r="N95" s="19">
        <f t="shared" si="12"/>
        <v>1.5055251812322479E-2</v>
      </c>
      <c r="O95" s="19">
        <f t="shared" si="25"/>
        <v>1.6356447003238257</v>
      </c>
    </row>
    <row r="96" spans="1:15" x14ac:dyDescent="0.25">
      <c r="A96" s="32">
        <v>5.5999960750341415E-2</v>
      </c>
      <c r="B96" s="1">
        <v>727.63014689080899</v>
      </c>
      <c r="C96" s="34">
        <v>1.5594881296808747</v>
      </c>
      <c r="D96">
        <v>94</v>
      </c>
      <c r="E96" s="13">
        <f t="shared" si="15"/>
        <v>112.72519661682736</v>
      </c>
      <c r="F96" s="13">
        <f t="shared" si="19"/>
        <v>887.27480338317264</v>
      </c>
      <c r="G96" s="13">
        <f t="shared" si="20"/>
        <v>13.68688847469889</v>
      </c>
      <c r="H96" s="5">
        <f t="shared" si="21"/>
        <v>873.58791490847375</v>
      </c>
      <c r="I96" s="22">
        <f t="shared" si="24"/>
        <v>0.10827199365305271</v>
      </c>
      <c r="L96" s="19">
        <f t="shared" si="22"/>
        <v>13.376143510461874</v>
      </c>
      <c r="M96" s="19">
        <f t="shared" si="23"/>
        <v>1.4482617252670502</v>
      </c>
      <c r="N96" s="19">
        <f t="shared" si="17"/>
        <v>1.44500973068028E-2</v>
      </c>
      <c r="O96" s="19">
        <f t="shared" si="25"/>
        <v>1.5474455570395516</v>
      </c>
    </row>
    <row r="97" spans="1:15" x14ac:dyDescent="0.25">
      <c r="A97" s="32">
        <v>5.6999959051609039E-2</v>
      </c>
      <c r="B97" s="1">
        <v>723.09105972703765</v>
      </c>
      <c r="C97" s="34">
        <v>1.5561858851501673</v>
      </c>
      <c r="D97">
        <v>95</v>
      </c>
      <c r="E97" s="13">
        <f t="shared" si="9"/>
        <v>111.17775105978785</v>
      </c>
      <c r="F97" s="13">
        <f t="shared" si="19"/>
        <v>888.82224894021215</v>
      </c>
      <c r="G97" s="13">
        <f t="shared" si="20"/>
        <v>12.919694333242433</v>
      </c>
      <c r="H97" s="5">
        <f t="shared" si="21"/>
        <v>875.90255460696972</v>
      </c>
      <c r="I97" s="22">
        <f t="shared" si="24"/>
        <v>0.10410926906935382</v>
      </c>
      <c r="L97" s="19">
        <f t="shared" si="22"/>
        <v>13.348657164042235</v>
      </c>
      <c r="M97" s="19">
        <f t="shared" si="23"/>
        <v>1.3897189404058305</v>
      </c>
      <c r="N97" s="19">
        <f t="shared" si="12"/>
        <v>1.3870054103463869E-2</v>
      </c>
      <c r="O97" s="19">
        <f t="shared" si="25"/>
        <v>1.4649393511856601</v>
      </c>
    </row>
    <row r="98" spans="1:15" x14ac:dyDescent="0.25">
      <c r="A98" s="32">
        <v>5.7999957352876663E-2</v>
      </c>
      <c r="B98" s="1">
        <v>718.48562555796593</v>
      </c>
      <c r="C98" s="34">
        <v>1.552887140607569</v>
      </c>
      <c r="D98">
        <v>96</v>
      </c>
      <c r="E98" s="13">
        <f t="shared" si="15"/>
        <v>109.7128117086022</v>
      </c>
      <c r="F98" s="13">
        <f t="shared" si="19"/>
        <v>890.2871882913978</v>
      </c>
      <c r="G98" s="13">
        <f t="shared" si="20"/>
        <v>12.204170452104677</v>
      </c>
      <c r="H98" s="5">
        <f t="shared" si="21"/>
        <v>878.08301783929312</v>
      </c>
      <c r="I98" s="22">
        <f t="shared" si="24"/>
        <v>0.10010230105611988</v>
      </c>
      <c r="L98" s="19">
        <f t="shared" si="22"/>
        <v>13.322764163158395</v>
      </c>
      <c r="M98" s="19">
        <f t="shared" si="23"/>
        <v>1.3336393491601666</v>
      </c>
      <c r="N98" s="19">
        <f t="shared" si="17"/>
        <v>1.3314096139706355E-2</v>
      </c>
      <c r="O98" s="19">
        <f t="shared" si="25"/>
        <v>1.3876905767035392</v>
      </c>
    </row>
    <row r="99" spans="1:15" x14ac:dyDescent="0.25">
      <c r="A99" s="32">
        <v>5.8999955654144287E-2</v>
      </c>
      <c r="B99" s="1">
        <v>713.81360915270704</v>
      </c>
      <c r="C99" s="34">
        <v>1.5495918960530792</v>
      </c>
      <c r="D99">
        <v>97</v>
      </c>
      <c r="E99" s="13">
        <f t="shared" si="15"/>
        <v>108.32512113189864</v>
      </c>
      <c r="F99" s="13">
        <f t="shared" si="19"/>
        <v>891.67487886810136</v>
      </c>
      <c r="G99" s="13">
        <f t="shared" si="20"/>
        <v>11.536220906025392</v>
      </c>
      <c r="H99" s="5">
        <f t="shared" si="21"/>
        <v>880.13865796207597</v>
      </c>
      <c r="I99" s="22">
        <f t="shared" si="24"/>
        <v>9.6246385280546423E-2</v>
      </c>
      <c r="L99" s="19">
        <f t="shared" si="22"/>
        <v>13.298353436700348</v>
      </c>
      <c r="M99" s="19">
        <f t="shared" si="23"/>
        <v>1.2799184484655404</v>
      </c>
      <c r="N99" s="19">
        <f t="shared" si="17"/>
        <v>1.2781227661827987E-2</v>
      </c>
      <c r="O99" s="19">
        <f t="shared" si="25"/>
        <v>1.3153016329477958</v>
      </c>
    </row>
    <row r="100" spans="1:15" x14ac:dyDescent="0.25">
      <c r="A100" s="32">
        <v>5.9999953955411911E-2</v>
      </c>
      <c r="B100" s="1">
        <v>709.0748229295292</v>
      </c>
      <c r="C100" s="34">
        <v>1.5463001514866985</v>
      </c>
      <c r="D100">
        <v>98</v>
      </c>
      <c r="E100" s="13">
        <f t="shared" si="15"/>
        <v>107.00981949895083</v>
      </c>
      <c r="F100" s="13">
        <f t="shared" si="19"/>
        <v>892.99018050104917</v>
      </c>
      <c r="G100" s="13">
        <f t="shared" si="20"/>
        <v>10.91211338950734</v>
      </c>
      <c r="H100" s="5">
        <f t="shared" si="21"/>
        <v>882.07806711154183</v>
      </c>
      <c r="I100" s="22">
        <f t="shared" si="24"/>
        <v>9.2536758194330646E-2</v>
      </c>
      <c r="L100" s="19">
        <f t="shared" si="22"/>
        <v>13.275322953050441</v>
      </c>
      <c r="M100" s="19">
        <f t="shared" si="23"/>
        <v>1.2284553500580762</v>
      </c>
      <c r="N100" s="19">
        <f t="shared" si="17"/>
        <v>1.2270484891365618E-2</v>
      </c>
      <c r="O100" s="19">
        <f t="shared" si="25"/>
        <v>1.2474092547201561</v>
      </c>
    </row>
    <row r="101" spans="1:15" x14ac:dyDescent="0.25">
      <c r="A101" s="32">
        <v>6.0999952256679535E-2</v>
      </c>
      <c r="B101" s="1">
        <v>704.26912949528764</v>
      </c>
      <c r="C101" s="34">
        <v>1.5430119069084265</v>
      </c>
      <c r="D101">
        <v>99</v>
      </c>
      <c r="E101" s="13">
        <f t="shared" si="15"/>
        <v>105.76241024423064</v>
      </c>
      <c r="F101" s="13">
        <f t="shared" si="19"/>
        <v>894.23758975576936</v>
      </c>
      <c r="G101" s="13">
        <f t="shared" si="20"/>
        <v>10.32844521108575</v>
      </c>
      <c r="H101" s="5">
        <f t="shared" si="21"/>
        <v>883.90914454468361</v>
      </c>
      <c r="I101" s="22">
        <f t="shared" si="24"/>
        <v>8.8968637284796218E-2</v>
      </c>
      <c r="L101" s="19">
        <f t="shared" si="22"/>
        <v>13.253578908531882</v>
      </c>
      <c r="M101" s="19">
        <f t="shared" si="23"/>
        <v>1.1791528546385983</v>
      </c>
      <c r="N101" s="19">
        <f t="shared" si="17"/>
        <v>1.1780937083614162E-2</v>
      </c>
      <c r="O101" s="19">
        <f t="shared" si="25"/>
        <v>1.1836812858537376</v>
      </c>
    </row>
    <row r="102" spans="1:15" x14ac:dyDescent="0.25">
      <c r="A102" s="32">
        <v>6.1999950557947159E-2</v>
      </c>
      <c r="B102" s="1">
        <v>699.39644419940123</v>
      </c>
      <c r="C102" s="34">
        <v>1.5397271623182638</v>
      </c>
      <c r="D102">
        <v>100</v>
      </c>
      <c r="E102" s="13">
        <f t="shared" si="15"/>
        <v>104.57872895837693</v>
      </c>
      <c r="F102" s="13">
        <f t="shared" si="19"/>
        <v>895.42127104162307</v>
      </c>
      <c r="G102" s="13">
        <f t="shared" si="20"/>
        <v>9.7821123587742704</v>
      </c>
      <c r="H102" s="5">
        <f t="shared" si="21"/>
        <v>885.6391586828488</v>
      </c>
      <c r="I102" s="22">
        <f t="shared" si="24"/>
        <v>8.5537254239377511E-2</v>
      </c>
      <c r="L102" s="19">
        <f t="shared" si="22"/>
        <v>13.233034990641169</v>
      </c>
      <c r="M102" s="19">
        <f t="shared" si="23"/>
        <v>1.1319174783530523</v>
      </c>
      <c r="N102" s="19">
        <f t="shared" si="17"/>
        <v>1.1311687093445322E-2</v>
      </c>
      <c r="O102" s="19">
        <f t="shared" si="25"/>
        <v>1.1238137656770193</v>
      </c>
    </row>
    <row r="103" spans="1:15" x14ac:dyDescent="0.25">
      <c r="A103" s="32">
        <v>6.2999948859214783E-2</v>
      </c>
      <c r="B103" s="1">
        <v>694.45673769430084</v>
      </c>
      <c r="C103" s="34">
        <v>1.53644591771621</v>
      </c>
      <c r="D103">
        <v>101</v>
      </c>
      <c r="E103" s="13">
        <f t="shared" si="15"/>
        <v>103.4549151926999</v>
      </c>
      <c r="F103" s="13">
        <f t="shared" si="19"/>
        <v>896.5450848073001</v>
      </c>
      <c r="G103" s="13">
        <f t="shared" si="20"/>
        <v>9.2702814241274609</v>
      </c>
      <c r="H103" s="5">
        <f t="shared" si="21"/>
        <v>887.27480338317264</v>
      </c>
      <c r="I103" s="22">
        <f t="shared" si="24"/>
        <v>8.2237882056118886E-2</v>
      </c>
      <c r="L103" s="19">
        <f t="shared" si="22"/>
        <v>13.213611709824827</v>
      </c>
      <c r="M103" s="19">
        <f t="shared" si="23"/>
        <v>1.0866594413279256</v>
      </c>
      <c r="N103" s="19">
        <f t="shared" si="17"/>
        <v>1.0861871544530333E-2</v>
      </c>
      <c r="O103" s="19">
        <f t="shared" si="25"/>
        <v>1.0675282994997164</v>
      </c>
    </row>
    <row r="104" spans="1:15" x14ac:dyDescent="0.25">
      <c r="A104" s="32">
        <v>6.3999950885772705E-2</v>
      </c>
      <c r="B104" s="1">
        <v>689.45001971700606</v>
      </c>
      <c r="C104" s="34">
        <v>1.5331681608982128</v>
      </c>
      <c r="D104">
        <v>102</v>
      </c>
      <c r="E104" s="13">
        <f t="shared" si="15"/>
        <v>102.38738689320019</v>
      </c>
      <c r="F104" s="13">
        <f t="shared" si="19"/>
        <v>897.61261310679981</v>
      </c>
      <c r="G104" s="13">
        <f t="shared" si="20"/>
        <v>8.7903641665876648</v>
      </c>
      <c r="H104" s="5">
        <f t="shared" si="21"/>
        <v>888.82224894021215</v>
      </c>
      <c r="I104" s="22">
        <f t="shared" si="24"/>
        <v>7.9065856997417472E-2</v>
      </c>
      <c r="L104" s="19">
        <f t="shared" si="22"/>
        <v>13.19523579383498</v>
      </c>
      <c r="M104" s="19">
        <f t="shared" si="23"/>
        <v>1.043292626322561</v>
      </c>
      <c r="N104" s="19">
        <f t="shared" si="17"/>
        <v>1.0430660681980841E-2</v>
      </c>
      <c r="O104" s="19">
        <f t="shared" si="25"/>
        <v>1.0145696862577804</v>
      </c>
    </row>
    <row r="105" spans="1:15" x14ac:dyDescent="0.25">
      <c r="A105" s="32">
        <v>6.4999952912330627E-2</v>
      </c>
      <c r="B105" s="1">
        <v>684.37639746487434</v>
      </c>
      <c r="C105" s="34">
        <v>1.5298939040944022</v>
      </c>
      <c r="D105">
        <v>103</v>
      </c>
      <c r="E105" s="13">
        <f t="shared" si="15"/>
        <v>101.37281720694239</v>
      </c>
      <c r="F105" s="13">
        <f t="shared" si="19"/>
        <v>898.62718279305761</v>
      </c>
      <c r="G105" s="13">
        <f t="shared" si="20"/>
        <v>8.3399945016598167</v>
      </c>
      <c r="H105" s="5">
        <f t="shared" si="21"/>
        <v>890.2871882913978</v>
      </c>
      <c r="I105" s="22">
        <f t="shared" si="24"/>
        <v>7.6016596163909142E-2</v>
      </c>
      <c r="L105" s="19">
        <f t="shared" si="22"/>
        <v>13.17783963903965</v>
      </c>
      <c r="M105" s="19">
        <f t="shared" si="23"/>
        <v>1.0017345141536314</v>
      </c>
      <c r="N105" s="19">
        <f t="shared" si="17"/>
        <v>1.0017257974863969E-2</v>
      </c>
      <c r="O105" s="19">
        <f t="shared" si="25"/>
        <v>0.96470377852063738</v>
      </c>
    </row>
    <row r="106" spans="1:15" x14ac:dyDescent="0.25">
      <c r="A106" s="32">
        <v>6.599995493888855E-2</v>
      </c>
      <c r="B106" s="1">
        <v>679.23602278806936</v>
      </c>
      <c r="C106" s="34">
        <v>1.5266231473047769</v>
      </c>
      <c r="D106">
        <v>104</v>
      </c>
      <c r="E106" s="13">
        <f t="shared" si="15"/>
        <v>100.40811342842176</v>
      </c>
      <c r="F106" s="13">
        <f t="shared" si="19"/>
        <v>899.59188657157824</v>
      </c>
      <c r="G106" s="13">
        <f t="shared" si="20"/>
        <v>7.9170077034768838</v>
      </c>
      <c r="H106" s="5">
        <f t="shared" si="21"/>
        <v>891.67487886810136</v>
      </c>
      <c r="I106" s="22">
        <f t="shared" si="24"/>
        <v>7.3085611359132399E-2</v>
      </c>
      <c r="L106" s="19">
        <f t="shared" si="22"/>
        <v>13.161360813441295</v>
      </c>
      <c r="M106" s="19">
        <f t="shared" si="23"/>
        <v>0.96190610136848509</v>
      </c>
      <c r="N106" s="19">
        <f t="shared" si="17"/>
        <v>9.6208995236307659E-3</v>
      </c>
      <c r="O106" s="19">
        <f t="shared" si="25"/>
        <v>0.91771555211955846</v>
      </c>
    </row>
    <row r="107" spans="1:15" x14ac:dyDescent="0.25">
      <c r="A107" s="32">
        <v>6.6999956965446472E-2</v>
      </c>
      <c r="B107" s="1">
        <v>674.02911295586443</v>
      </c>
      <c r="C107" s="34">
        <v>1.5233558905293378</v>
      </c>
      <c r="D107">
        <v>105</v>
      </c>
      <c r="E107" s="13">
        <f t="shared" si="15"/>
        <v>99.490397876302154</v>
      </c>
      <c r="F107" s="13">
        <f t="shared" si="19"/>
        <v>900.50960212369785</v>
      </c>
      <c r="G107" s="13">
        <f t="shared" si="20"/>
        <v>7.5194216226486787</v>
      </c>
      <c r="H107" s="5">
        <f t="shared" si="21"/>
        <v>892.99018050104917</v>
      </c>
      <c r="I107" s="22">
        <f t="shared" si="24"/>
        <v>7.0268519822355199E-2</v>
      </c>
      <c r="L107" s="19">
        <f t="shared" si="22"/>
        <v>13.145741606550041</v>
      </c>
      <c r="M107" s="19">
        <f t="shared" si="23"/>
        <v>0.92373180465942106</v>
      </c>
      <c r="N107" s="19">
        <f t="shared" si="17"/>
        <v>9.2408533179092478E-3</v>
      </c>
      <c r="O107" s="19">
        <f t="shared" si="25"/>
        <v>0.87340736464957103</v>
      </c>
    </row>
    <row r="108" spans="1:15" x14ac:dyDescent="0.25">
      <c r="A108" s="32">
        <v>6.7999958992004395E-2</v>
      </c>
      <c r="B108" s="1">
        <v>668.75595310112203</v>
      </c>
      <c r="C108" s="34">
        <v>1.5200921337680846</v>
      </c>
      <c r="D108">
        <v>106</v>
      </c>
      <c r="E108" s="13">
        <f t="shared" si="15"/>
        <v>98.616990511652602</v>
      </c>
      <c r="F108" s="13">
        <f t="shared" si="19"/>
        <v>901.3830094883474</v>
      </c>
      <c r="G108" s="13">
        <f t="shared" si="20"/>
        <v>7.1454197325780342</v>
      </c>
      <c r="H108" s="5">
        <f t="shared" si="21"/>
        <v>894.23758975576936</v>
      </c>
      <c r="I108" s="22">
        <f t="shared" si="24"/>
        <v>6.756105232546758E-2</v>
      </c>
      <c r="L108" s="19">
        <f t="shared" si="22"/>
        <v>13.130928621650238</v>
      </c>
      <c r="M108" s="19">
        <f t="shared" si="23"/>
        <v>0.88713935568929159</v>
      </c>
      <c r="N108" s="19">
        <f t="shared" si="17"/>
        <v>8.8764183820770892E-3</v>
      </c>
      <c r="O108" s="19">
        <f t="shared" si="25"/>
        <v>0.83159738399461725</v>
      </c>
    </row>
    <row r="109" spans="1:15" x14ac:dyDescent="0.25">
      <c r="A109" s="32">
        <v>6.8999961018562317E-2</v>
      </c>
      <c r="B109" s="1">
        <v>663.41689860780377</v>
      </c>
      <c r="C109" s="34">
        <v>1.5168318770210174</v>
      </c>
      <c r="D109">
        <v>107</v>
      </c>
      <c r="E109" s="13">
        <f t="shared" si="15"/>
        <v>97.78539312765804</v>
      </c>
      <c r="F109" s="13">
        <f t="shared" si="19"/>
        <v>902.21460687234196</v>
      </c>
      <c r="G109" s="13">
        <f t="shared" si="20"/>
        <v>6.7933358307188882</v>
      </c>
      <c r="H109" s="5">
        <f t="shared" si="21"/>
        <v>895.42127104162307</v>
      </c>
      <c r="I109" s="22">
        <f t="shared" si="24"/>
        <v>6.4959059058966803E-2</v>
      </c>
      <c r="L109" s="19">
        <f t="shared" si="22"/>
        <v>13.116872406380725</v>
      </c>
      <c r="M109" s="19">
        <f t="shared" si="23"/>
        <v>0.85205968931501752</v>
      </c>
      <c r="N109" s="19">
        <f t="shared" si="17"/>
        <v>8.5269238393075319E-3</v>
      </c>
      <c r="O109" s="19">
        <f t="shared" si="25"/>
        <v>0.79211816980647187</v>
      </c>
    </row>
    <row r="110" spans="1:15" x14ac:dyDescent="0.25">
      <c r="A110" s="32">
        <v>6.9999963045120239E-2</v>
      </c>
      <c r="B110" s="1">
        <v>658.01237742916885</v>
      </c>
      <c r="C110" s="34">
        <v>1.513575120288136</v>
      </c>
      <c r="D110">
        <v>108</v>
      </c>
      <c r="E110" s="13">
        <f t="shared" si="15"/>
        <v>96.993274957851554</v>
      </c>
      <c r="F110" s="13">
        <f t="shared" si="19"/>
        <v>903.00672504214845</v>
      </c>
      <c r="G110" s="13">
        <f t="shared" si="20"/>
        <v>6.4616402348483462</v>
      </c>
      <c r="H110" s="5">
        <f t="shared" si="21"/>
        <v>896.5450848073001</v>
      </c>
      <c r="I110" s="22">
        <f t="shared" si="24"/>
        <v>6.2458513670545251E-2</v>
      </c>
      <c r="L110" s="19">
        <f t="shared" si="22"/>
        <v>13.103527117913313</v>
      </c>
      <c r="M110" s="19">
        <f t="shared" si="23"/>
        <v>0.81842682762654906</v>
      </c>
      <c r="N110" s="19">
        <f t="shared" si="17"/>
        <v>8.1917279191537906E-3</v>
      </c>
      <c r="O110" s="19">
        <f t="shared" si="25"/>
        <v>0.75481539252027319</v>
      </c>
    </row>
    <row r="111" spans="1:15" x14ac:dyDescent="0.25">
      <c r="A111" s="32">
        <v>7.0999965071678162E-2</v>
      </c>
      <c r="B111" s="1">
        <v>652.54289232383155</v>
      </c>
      <c r="C111" s="34">
        <v>1.5103218635694409</v>
      </c>
      <c r="D111">
        <v>109</v>
      </c>
      <c r="E111" s="13">
        <f t="shared" si="15"/>
        <v>96.238459565331254</v>
      </c>
      <c r="F111" s="13">
        <f t="shared" si="19"/>
        <v>903.76154043466875</v>
      </c>
      <c r="G111" s="13">
        <f t="shared" si="20"/>
        <v>6.1489273278689325</v>
      </c>
      <c r="H111" s="5">
        <f t="shared" si="21"/>
        <v>897.61261310679981</v>
      </c>
      <c r="I111" s="22">
        <f t="shared" si="24"/>
        <v>6.0055515766632955E-2</v>
      </c>
      <c r="L111" s="19">
        <f t="shared" si="22"/>
        <v>13.090850219356751</v>
      </c>
      <c r="M111" s="19">
        <f t="shared" si="23"/>
        <v>0.78617776174720988</v>
      </c>
      <c r="N111" s="19">
        <f t="shared" si="17"/>
        <v>7.8702169290582047E-3</v>
      </c>
      <c r="O111" s="19">
        <f t="shared" si="25"/>
        <v>0.71954667601267586</v>
      </c>
    </row>
    <row r="112" spans="1:15" x14ac:dyDescent="0.25">
      <c r="A112" s="32">
        <v>7.1999967098236084E-2</v>
      </c>
      <c r="B112" s="1">
        <v>647.00902299604695</v>
      </c>
      <c r="C112" s="34">
        <v>1.5070721068649311</v>
      </c>
      <c r="D112">
        <v>110</v>
      </c>
      <c r="E112" s="13">
        <f t="shared" si="15"/>
        <v>95.518912889318585</v>
      </c>
      <c r="F112" s="13">
        <f t="shared" si="19"/>
        <v>904.48108711068141</v>
      </c>
      <c r="G112" s="13">
        <f t="shared" si="20"/>
        <v>5.853904317623801</v>
      </c>
      <c r="H112" s="5">
        <f t="shared" si="21"/>
        <v>898.62718279305761</v>
      </c>
      <c r="I112" s="22">
        <f t="shared" si="24"/>
        <v>5.7746292141350332E-2</v>
      </c>
      <c r="L112" s="19">
        <f t="shared" si="22"/>
        <v>13.07880220433244</v>
      </c>
      <c r="M112" s="19">
        <f t="shared" si="23"/>
        <v>0.7552523329503178</v>
      </c>
      <c r="N112" s="19">
        <f t="shared" si="17"/>
        <v>7.5618042062611801E-3</v>
      </c>
      <c r="O112" s="19">
        <f t="shared" si="25"/>
        <v>0.6861805514007473</v>
      </c>
    </row>
    <row r="113" spans="1:15" x14ac:dyDescent="0.25">
      <c r="A113" s="32">
        <v>7.2999969124794006E-2</v>
      </c>
      <c r="B113" s="1">
        <v>641.41142812696751</v>
      </c>
      <c r="C113" s="34">
        <v>1.5038258501746078</v>
      </c>
      <c r="D113">
        <v>111</v>
      </c>
      <c r="E113" s="13">
        <f t="shared" si="15"/>
        <v>94.832732337917832</v>
      </c>
      <c r="F113" s="13">
        <f t="shared" si="19"/>
        <v>905.16726766208217</v>
      </c>
      <c r="G113" s="13">
        <f t="shared" si="20"/>
        <v>5.5753810905039245</v>
      </c>
      <c r="H113" s="5">
        <f t="shared" si="21"/>
        <v>899.59188657157824</v>
      </c>
      <c r="I113" s="22">
        <f t="shared" si="24"/>
        <v>5.5527196957828151E-2</v>
      </c>
      <c r="L113" s="19">
        <f t="shared" si="22"/>
        <v>13.067346346962507</v>
      </c>
      <c r="M113" s="19">
        <f t="shared" si="23"/>
        <v>0.72559311432394336</v>
      </c>
      <c r="N113" s="19">
        <f t="shared" si="17"/>
        <v>7.2659290633436679E-3</v>
      </c>
      <c r="O113" s="19">
        <f t="shared" si="25"/>
        <v>0.65459551074784972</v>
      </c>
    </row>
    <row r="114" spans="1:15" x14ac:dyDescent="0.25">
      <c r="A114" s="32">
        <v>7.3999971151351929E-2</v>
      </c>
      <c r="B114" s="1">
        <v>635.75084728281502</v>
      </c>
      <c r="C114" s="34">
        <v>1.5005830934984699</v>
      </c>
      <c r="D114">
        <v>112</v>
      </c>
      <c r="E114" s="13">
        <f t="shared" si="15"/>
        <v>94.178136827169965</v>
      </c>
      <c r="F114" s="13">
        <f t="shared" si="19"/>
        <v>905.82186317283004</v>
      </c>
      <c r="G114" s="13">
        <f t="shared" si="20"/>
        <v>5.3122610491321893</v>
      </c>
      <c r="H114" s="5">
        <f t="shared" si="21"/>
        <v>900.50960212369785</v>
      </c>
      <c r="I114" s="22">
        <f t="shared" si="24"/>
        <v>5.3394711072891676E-2</v>
      </c>
      <c r="L114" s="19">
        <f t="shared" si="22"/>
        <v>13.056448474781089</v>
      </c>
      <c r="M114" s="19">
        <f t="shared" si="23"/>
        <v>0.69714529394903346</v>
      </c>
      <c r="N114" s="19">
        <f t="shared" si="17"/>
        <v>6.9820557379386416E-3</v>
      </c>
      <c r="O114" s="19">
        <f t="shared" si="25"/>
        <v>0.6246791505913869</v>
      </c>
    </row>
    <row r="115" spans="1:15" x14ac:dyDescent="0.25">
      <c r="A115" s="32">
        <v>7.4999973177909851E-2</v>
      </c>
      <c r="B115" s="1">
        <v>630.02810268574547</v>
      </c>
      <c r="C115" s="34">
        <v>1.4973438368365182</v>
      </c>
      <c r="D115">
        <v>113</v>
      </c>
      <c r="E115" s="13">
        <f t="shared" si="15"/>
        <v>93.553457676578546</v>
      </c>
      <c r="F115" s="13">
        <f t="shared" si="19"/>
        <v>906.44654232342145</v>
      </c>
      <c r="G115" s="13">
        <f t="shared" si="20"/>
        <v>5.0635328350740565</v>
      </c>
      <c r="H115" s="5">
        <f t="shared" si="21"/>
        <v>901.3830094883474</v>
      </c>
      <c r="I115" s="22">
        <f t="shared" si="24"/>
        <v>5.1345440666998941E-2</v>
      </c>
      <c r="L115" s="19">
        <f t="shared" si="22"/>
        <v>13.046076762325873</v>
      </c>
      <c r="M115" s="19">
        <f t="shared" si="23"/>
        <v>0.66985656033711671</v>
      </c>
      <c r="N115" s="19">
        <f t="shared" si="17"/>
        <v>6.7096723549231463E-3</v>
      </c>
      <c r="O115" s="19">
        <f t="shared" si="25"/>
        <v>0.59632739624601105</v>
      </c>
    </row>
    <row r="116" spans="1:15" x14ac:dyDescent="0.25">
      <c r="A116" s="32">
        <v>7.5999975204467773E-2</v>
      </c>
      <c r="B116" s="1">
        <v>624.24410083349619</v>
      </c>
      <c r="C116" s="34">
        <v>1.4941080801887523</v>
      </c>
      <c r="D116">
        <v>114</v>
      </c>
      <c r="E116" s="13">
        <f t="shared" si="15"/>
        <v>92.957130280332535</v>
      </c>
      <c r="F116" s="13">
        <f t="shared" si="19"/>
        <v>907.04286971966746</v>
      </c>
      <c r="G116" s="13">
        <f t="shared" si="20"/>
        <v>4.8282628473255045</v>
      </c>
      <c r="H116" s="5">
        <f t="shared" si="21"/>
        <v>902.21460687234196</v>
      </c>
      <c r="I116" s="22">
        <f t="shared" si="24"/>
        <v>4.9376115316346343E-2</v>
      </c>
      <c r="L116" s="19">
        <f t="shared" si="22"/>
        <v>13.03620154339094</v>
      </c>
      <c r="M116" s="19">
        <f t="shared" si="23"/>
        <v>0.64367699069360318</v>
      </c>
      <c r="N116" s="19">
        <f t="shared" si="17"/>
        <v>6.4482899075510858E-3</v>
      </c>
      <c r="O116" s="19">
        <f t="shared" si="25"/>
        <v>0.56944379877050078</v>
      </c>
    </row>
    <row r="117" spans="1:15" x14ac:dyDescent="0.25">
      <c r="A117" s="32">
        <v>7.6999977231025696E-2</v>
      </c>
      <c r="B117" s="1">
        <v>618.39983395357194</v>
      </c>
      <c r="C117" s="34">
        <v>1.4908758235551725</v>
      </c>
      <c r="D117">
        <v>115</v>
      </c>
      <c r="E117" s="13">
        <f t="shared" si="15"/>
        <v>92.387686481562014</v>
      </c>
      <c r="F117" s="13">
        <f t="shared" si="19"/>
        <v>907.61231351843799</v>
      </c>
      <c r="G117" s="13">
        <f t="shared" si="20"/>
        <v>4.6055884762895403</v>
      </c>
      <c r="H117" s="5">
        <f t="shared" si="21"/>
        <v>903.00672504214845</v>
      </c>
      <c r="I117" s="22">
        <f t="shared" si="24"/>
        <v>4.748358562272384E-2</v>
      </c>
      <c r="L117" s="19">
        <f t="shared" si="22"/>
        <v>13.026795140124486</v>
      </c>
      <c r="M117" s="19">
        <f t="shared" si="23"/>
        <v>0.6185589424257838</v>
      </c>
      <c r="N117" s="19">
        <f t="shared" si="17"/>
        <v>6.1974412624785646E-3</v>
      </c>
      <c r="O117" s="19">
        <f t="shared" si="25"/>
        <v>0.54393889732847722</v>
      </c>
    </row>
    <row r="118" spans="1:15" x14ac:dyDescent="0.25">
      <c r="A118" s="32">
        <v>7.7999979257583618E-2</v>
      </c>
      <c r="B118" s="1">
        <v>612.49638127753019</v>
      </c>
      <c r="C118" s="34">
        <v>1.4876470669357784</v>
      </c>
      <c r="D118">
        <v>116</v>
      </c>
      <c r="E118" s="13">
        <f t="shared" si="15"/>
        <v>91.843747584233483</v>
      </c>
      <c r="F118" s="13">
        <f t="shared" si="19"/>
        <v>908.15625241576652</v>
      </c>
      <c r="G118" s="13">
        <f t="shared" si="20"/>
        <v>4.3947119810977711</v>
      </c>
      <c r="H118" s="5">
        <f t="shared" si="21"/>
        <v>903.76154043466875</v>
      </c>
      <c r="I118" s="22">
        <f t="shared" si="24"/>
        <v>4.5664820498445648E-2</v>
      </c>
      <c r="L118" s="19">
        <f t="shared" si="22"/>
        <v>13.017831707338308</v>
      </c>
      <c r="M118" s="19">
        <f t="shared" si="23"/>
        <v>0.59445694819457806</v>
      </c>
      <c r="N118" s="19">
        <f t="shared" si="17"/>
        <v>5.9566801923752744E-3</v>
      </c>
      <c r="O118" s="19">
        <f t="shared" si="25"/>
        <v>0.51972964042709213</v>
      </c>
    </row>
    <row r="119" spans="1:15" x14ac:dyDescent="0.25">
      <c r="A119" s="32">
        <v>7.8999981284141541E-2</v>
      </c>
      <c r="B119" s="1">
        <v>606.5349101221633</v>
      </c>
      <c r="C119" s="34">
        <v>1.4844218103305706</v>
      </c>
      <c r="D119">
        <v>117</v>
      </c>
      <c r="E119" s="13">
        <f t="shared" si="15"/>
        <v>91.324017943806439</v>
      </c>
      <c r="F119" s="13">
        <f t="shared" si="19"/>
        <v>908.67598205619356</v>
      </c>
      <c r="G119" s="13">
        <f t="shared" si="20"/>
        <v>4.1948949455121465</v>
      </c>
      <c r="H119" s="5">
        <f t="shared" si="21"/>
        <v>904.48108711068141</v>
      </c>
      <c r="I119" s="22">
        <f t="shared" si="24"/>
        <v>4.3916904188104941E-2</v>
      </c>
      <c r="L119" s="19">
        <f t="shared" si="22"/>
        <v>13.009287090560658</v>
      </c>
      <c r="M119" s="19">
        <f t="shared" si="23"/>
        <v>0.5713276147117029</v>
      </c>
      <c r="N119" s="19">
        <f t="shared" si="17"/>
        <v>5.7255804388021136E-3</v>
      </c>
      <c r="O119" s="19">
        <f t="shared" si="25"/>
        <v>0.49673886019527774</v>
      </c>
    </row>
    <row r="120" spans="1:15" x14ac:dyDescent="0.25">
      <c r="A120" s="32">
        <v>7.9999983310699463E-2</v>
      </c>
      <c r="B120" s="1">
        <v>600.51667676327543</v>
      </c>
      <c r="C120" s="34">
        <v>1.4812000537395482</v>
      </c>
      <c r="D120">
        <v>118</v>
      </c>
      <c r="E120" s="13">
        <f t="shared" si="15"/>
        <v>90.827279083611188</v>
      </c>
      <c r="F120" s="13">
        <f t="shared" si="19"/>
        <v>909.17272091638881</v>
      </c>
      <c r="G120" s="13">
        <f t="shared" si="20"/>
        <v>4.0054532543066443</v>
      </c>
      <c r="H120" s="5">
        <f t="shared" si="21"/>
        <v>905.16726766208217</v>
      </c>
      <c r="I120" s="22">
        <f t="shared" si="24"/>
        <v>4.2237033095640412E-2</v>
      </c>
      <c r="L120" s="19">
        <f t="shared" si="22"/>
        <v>13.001138696512772</v>
      </c>
      <c r="M120" s="19">
        <f t="shared" si="23"/>
        <v>0.54912952540562121</v>
      </c>
      <c r="N120" s="19">
        <f t="shared" si="17"/>
        <v>5.5037348071961256E-3</v>
      </c>
      <c r="O120" s="19">
        <f t="shared" si="25"/>
        <v>0.4748947944686181</v>
      </c>
    </row>
    <row r="121" spans="1:15" x14ac:dyDescent="0.25">
      <c r="A121" s="32">
        <v>8.0999985337257385E-2</v>
      </c>
      <c r="B121" s="1">
        <v>594.44302708940359</v>
      </c>
      <c r="C121" s="34">
        <v>1.4779817971627123</v>
      </c>
      <c r="D121">
        <v>119</v>
      </c>
      <c r="E121" s="13">
        <f t="shared" si="15"/>
        <v>90.352384289142606</v>
      </c>
      <c r="F121" s="13">
        <f t="shared" si="19"/>
        <v>909.64761571085739</v>
      </c>
      <c r="G121" s="13">
        <f t="shared" si="20"/>
        <v>3.8257525380273592</v>
      </c>
      <c r="H121" s="5">
        <f t="shared" si="21"/>
        <v>905.82186317283004</v>
      </c>
      <c r="I121" s="22">
        <f t="shared" si="24"/>
        <v>4.0622512473868E-2</v>
      </c>
      <c r="L121" s="19">
        <f t="shared" si="22"/>
        <v>12.993365374822643</v>
      </c>
      <c r="M121" s="19">
        <f t="shared" si="23"/>
        <v>0.52782314701625732</v>
      </c>
      <c r="N121" s="19">
        <f t="shared" si="17"/>
        <v>5.2907542951301512E-3</v>
      </c>
      <c r="O121" s="19">
        <f t="shared" si="25"/>
        <v>0.45413065199037966</v>
      </c>
    </row>
    <row r="122" spans="1:15" x14ac:dyDescent="0.25">
      <c r="A122" s="32">
        <v>8.1999987363815308E-2</v>
      </c>
      <c r="B122" s="1">
        <v>588.31539702259897</v>
      </c>
      <c r="C122" s="34">
        <v>1.4747670406000617</v>
      </c>
      <c r="D122">
        <v>120</v>
      </c>
      <c r="E122" s="13">
        <f t="shared" si="15"/>
        <v>89.898253637152266</v>
      </c>
      <c r="F122" s="13">
        <f t="shared" si="19"/>
        <v>910.10174636284773</v>
      </c>
      <c r="G122" s="13">
        <f t="shared" si="20"/>
        <v>3.6552040394262804</v>
      </c>
      <c r="H122" s="5">
        <f t="shared" si="21"/>
        <v>906.44654232342145</v>
      </c>
      <c r="I122" s="22">
        <f t="shared" si="24"/>
        <v>3.9070753024036807E-2</v>
      </c>
      <c r="L122" s="19">
        <f t="shared" si="22"/>
        <v>12.985947309909369</v>
      </c>
      <c r="M122" s="19">
        <f t="shared" si="23"/>
        <v>0.50737074012862415</v>
      </c>
      <c r="N122" s="19">
        <f t="shared" si="17"/>
        <v>5.0862672544687015E-3</v>
      </c>
      <c r="O122" s="19">
        <f t="shared" si="25"/>
        <v>0.43438421652314096</v>
      </c>
    </row>
    <row r="123" spans="1:15" x14ac:dyDescent="0.25">
      <c r="A123" s="32">
        <v>8.299998939037323E-2</v>
      </c>
      <c r="B123" s="1">
        <v>582.1353126944133</v>
      </c>
      <c r="C123" s="34">
        <v>1.4715557840515974</v>
      </c>
      <c r="D123">
        <v>121</v>
      </c>
      <c r="E123" s="13">
        <f t="shared" si="15"/>
        <v>89.46386942062918</v>
      </c>
      <c r="F123" s="13">
        <f t="shared" si="19"/>
        <v>910.53613057937082</v>
      </c>
      <c r="G123" s="13">
        <f t="shared" si="20"/>
        <v>3.493260859703355</v>
      </c>
      <c r="H123" s="5">
        <f t="shared" si="21"/>
        <v>907.04286971966746</v>
      </c>
      <c r="I123" s="22">
        <f t="shared" si="24"/>
        <v>3.7579267444774418E-2</v>
      </c>
      <c r="L123" s="19">
        <f t="shared" si="22"/>
        <v>12.978865922078949</v>
      </c>
      <c r="M123" s="19">
        <f t="shared" si="23"/>
        <v>0.48773627361567357</v>
      </c>
      <c r="N123" s="19">
        <f t="shared" si="17"/>
        <v>4.8899185876007945E-3</v>
      </c>
      <c r="O123" s="19">
        <f t="shared" si="25"/>
        <v>0.41559748609869368</v>
      </c>
    </row>
    <row r="124" spans="1:15" x14ac:dyDescent="0.25">
      <c r="A124" s="32">
        <v>8.3999991416931152E-2</v>
      </c>
      <c r="B124" s="1">
        <v>575.90439036590703</v>
      </c>
      <c r="C124" s="34">
        <v>1.4683480275173189</v>
      </c>
      <c r="D124">
        <v>122</v>
      </c>
      <c r="E124" s="13">
        <f t="shared" si="15"/>
        <v>89.048271934530476</v>
      </c>
      <c r="F124" s="13">
        <f t="shared" si="19"/>
        <v>910.95172806546952</v>
      </c>
      <c r="G124" s="13">
        <f t="shared" si="20"/>
        <v>3.3394145470315379</v>
      </c>
      <c r="H124" s="5">
        <f t="shared" si="21"/>
        <v>907.61231351843799</v>
      </c>
      <c r="I124" s="22">
        <f t="shared" si="24"/>
        <v>3.614566696285864E-2</v>
      </c>
      <c r="L124" s="19">
        <f t="shared" si="22"/>
        <v>12.972103776968549</v>
      </c>
      <c r="M124" s="19">
        <f t="shared" si="23"/>
        <v>0.46888534292994588</v>
      </c>
      <c r="N124" s="19">
        <f t="shared" si="17"/>
        <v>4.7013689775868839E-3</v>
      </c>
      <c r="O124" s="19">
        <f t="shared" si="25"/>
        <v>0.39771634402168621</v>
      </c>
    </row>
    <row r="125" spans="1:15" x14ac:dyDescent="0.25">
      <c r="A125" s="32">
        <v>8.4999993443489075E-2</v>
      </c>
      <c r="B125" s="1">
        <v>569.62433608132392</v>
      </c>
      <c r="C125" s="34">
        <v>1.4651437709972264</v>
      </c>
      <c r="D125">
        <v>123</v>
      </c>
      <c r="E125" s="13">
        <f t="shared" si="15"/>
        <v>88.650555590508816</v>
      </c>
      <c r="F125" s="13">
        <f t="shared" si="19"/>
        <v>911.34944440949118</v>
      </c>
      <c r="G125" s="13">
        <f t="shared" si="20"/>
        <v>3.1931919937246676</v>
      </c>
      <c r="H125" s="5">
        <f t="shared" si="21"/>
        <v>908.15625241576652</v>
      </c>
      <c r="I125" s="22">
        <f t="shared" si="24"/>
        <v>3.4767657872367054E-2</v>
      </c>
      <c r="L125" s="19">
        <f t="shared" si="22"/>
        <v>12.965644502562773</v>
      </c>
      <c r="M125" s="19">
        <f t="shared" si="23"/>
        <v>0.4507850921598392</v>
      </c>
      <c r="N125" s="19">
        <f t="shared" si="17"/>
        <v>4.5202941517796802E-3</v>
      </c>
      <c r="O125" s="19">
        <f t="shared" si="25"/>
        <v>0.3806902585884066</v>
      </c>
    </row>
    <row r="126" spans="1:15" x14ac:dyDescent="0.25">
      <c r="A126" s="32">
        <v>8.5999995470046997E-2</v>
      </c>
      <c r="B126" s="1">
        <v>563.2969450463429</v>
      </c>
      <c r="C126" s="34">
        <v>1.4619430144913197</v>
      </c>
      <c r="D126">
        <v>124</v>
      </c>
      <c r="E126" s="13">
        <f t="shared" si="15"/>
        <v>88.269865331920414</v>
      </c>
      <c r="F126" s="13">
        <f t="shared" si="19"/>
        <v>911.73013466807959</v>
      </c>
      <c r="G126" s="13">
        <f t="shared" si="20"/>
        <v>3.0541526118860247</v>
      </c>
      <c r="H126" s="5">
        <f t="shared" si="21"/>
        <v>908.67598205619356</v>
      </c>
      <c r="I126" s="22">
        <f t="shared" si="24"/>
        <v>3.3443038103791144E-2</v>
      </c>
      <c r="L126" s="19">
        <f t="shared" si="22"/>
        <v>12.9594727130827</v>
      </c>
      <c r="M126" s="19">
        <f t="shared" si="23"/>
        <v>0.43340413974866632</v>
      </c>
      <c r="N126" s="19">
        <f t="shared" si="17"/>
        <v>4.346384178268603E-3</v>
      </c>
      <c r="O126" s="19">
        <f t="shared" si="25"/>
        <v>0.36447200879173119</v>
      </c>
    </row>
    <row r="127" spans="1:15" x14ac:dyDescent="0.25">
      <c r="A127" s="32">
        <v>8.6999997496604919E-2</v>
      </c>
      <c r="B127" s="1">
        <v>556.92410072264067</v>
      </c>
      <c r="C127" s="34">
        <v>1.4587457579995993</v>
      </c>
      <c r="D127">
        <v>125</v>
      </c>
      <c r="E127" s="13">
        <f t="shared" si="15"/>
        <v>87.905393323128692</v>
      </c>
      <c r="F127" s="13">
        <f t="shared" si="19"/>
        <v>912.09460667687131</v>
      </c>
      <c r="G127" s="13">
        <f t="shared" si="20"/>
        <v>2.9218857604824962</v>
      </c>
      <c r="H127" s="5">
        <f t="shared" si="21"/>
        <v>909.17272091638881</v>
      </c>
      <c r="I127" s="22">
        <f t="shared" si="24"/>
        <v>3.2169693840467792E-2</v>
      </c>
      <c r="L127" s="19">
        <f t="shared" si="22"/>
        <v>12.953573939117884</v>
      </c>
      <c r="M127" s="19">
        <f t="shared" si="23"/>
        <v>0.41671250776128471</v>
      </c>
      <c r="N127" s="19">
        <f t="shared" si="17"/>
        <v>4.1793427943341843E-3</v>
      </c>
      <c r="O127" s="19">
        <f t="shared" si="25"/>
        <v>0.3490174335597237</v>
      </c>
    </row>
    <row r="128" spans="1:15" x14ac:dyDescent="0.25">
      <c r="A128" s="32">
        <v>8.7999999523162842E-2</v>
      </c>
      <c r="B128" s="1">
        <v>550.50777363195823</v>
      </c>
      <c r="C128" s="34">
        <v>1.4555520015220642</v>
      </c>
      <c r="D128">
        <v>126</v>
      </c>
      <c r="E128" s="13">
        <f t="shared" si="15"/>
        <v>87.556375889568926</v>
      </c>
      <c r="F128" s="13">
        <f t="shared" si="19"/>
        <v>912.44362411043107</v>
      </c>
      <c r="G128" s="13">
        <f t="shared" si="20"/>
        <v>2.7960083995736795</v>
      </c>
      <c r="H128" s="5">
        <f t="shared" si="21"/>
        <v>909.64761571085739</v>
      </c>
      <c r="I128" s="22">
        <f t="shared" si="24"/>
        <v>3.0945596196177726E-2</v>
      </c>
      <c r="L128" s="19">
        <f t="shared" si="22"/>
        <v>12.947934563433567</v>
      </c>
      <c r="M128" s="19">
        <f t="shared" si="23"/>
        <v>0.4006815545745479</v>
      </c>
      <c r="N128" s="19">
        <f t="shared" si="17"/>
        <v>4.0188867659799454E-3</v>
      </c>
      <c r="O128" s="19">
        <f t="shared" si="25"/>
        <v>0.33428520232276643</v>
      </c>
    </row>
    <row r="129" spans="1:15" x14ac:dyDescent="0.25">
      <c r="A129" s="32">
        <v>8.9000001549720764E-2</v>
      </c>
      <c r="B129" s="1">
        <v>544.05001986431375</v>
      </c>
      <c r="C129" s="34">
        <v>1.4523617450587156</v>
      </c>
      <c r="D129">
        <v>127</v>
      </c>
      <c r="E129" s="13">
        <f t="shared" si="15"/>
        <v>87.222090687246123</v>
      </c>
      <c r="F129" s="13">
        <f t="shared" si="19"/>
        <v>912.77790931275388</v>
      </c>
      <c r="G129" s="13">
        <f t="shared" si="20"/>
        <v>2.6761629499061428</v>
      </c>
      <c r="H129" s="5">
        <f t="shared" si="21"/>
        <v>910.10174636284773</v>
      </c>
      <c r="I129" s="22">
        <f t="shared" si="24"/>
        <v>2.9768797964726697E-2</v>
      </c>
      <c r="L129" s="19">
        <f t="shared" si="22"/>
        <v>12.942541761941184</v>
      </c>
      <c r="M129" s="19">
        <f t="shared" si="23"/>
        <v>0.38528391086126501</v>
      </c>
      <c r="N129" s="19">
        <f t="shared" si="17"/>
        <v>3.8647452775218971E-3</v>
      </c>
      <c r="O129" s="19">
        <f t="shared" si="25"/>
        <v>0.32023660492516504</v>
      </c>
    </row>
    <row r="130" spans="1:15" x14ac:dyDescent="0.25">
      <c r="A130" s="32">
        <v>9.0000003576278687E-2</v>
      </c>
      <c r="B130" s="1">
        <v>537.55297928610003</v>
      </c>
      <c r="C130" s="34">
        <v>1.4491749886095524</v>
      </c>
      <c r="D130">
        <v>128</v>
      </c>
      <c r="E130" s="13">
        <f t="shared" ref="E130:E193" si="26">$B$3-F130</f>
        <v>86.901854082320938</v>
      </c>
      <c r="F130" s="13">
        <f t="shared" si="19"/>
        <v>913.09814591767906</v>
      </c>
      <c r="G130" s="13">
        <f t="shared" si="20"/>
        <v>2.5620153383082425</v>
      </c>
      <c r="H130" s="5">
        <f t="shared" si="21"/>
        <v>910.53613057937082</v>
      </c>
      <c r="I130" s="22">
        <f t="shared" si="24"/>
        <v>2.8637430449855724E-2</v>
      </c>
      <c r="L130" s="19">
        <f t="shared" si="22"/>
        <v>12.937383449369971</v>
      </c>
      <c r="M130" s="19">
        <f t="shared" si="23"/>
        <v>0.37049341873444708</v>
      </c>
      <c r="N130" s="19">
        <f t="shared" ref="N130:N193" si="27">1-(1-$B$7)^M130</f>
        <v>3.7166593501564149E-3</v>
      </c>
      <c r="O130" s="19">
        <f t="shared" si="25"/>
        <v>0.30683535909493714</v>
      </c>
    </row>
    <row r="131" spans="1:15" x14ac:dyDescent="0.25">
      <c r="A131" s="32">
        <v>9.1000005602836609E-2</v>
      </c>
      <c r="B131" s="1">
        <v>531.01887344587703</v>
      </c>
      <c r="C131" s="34">
        <v>1.4459917321745754</v>
      </c>
      <c r="D131">
        <v>129</v>
      </c>
      <c r="E131" s="13">
        <f t="shared" si="26"/>
        <v>86.595018723225962</v>
      </c>
      <c r="F131" s="13">
        <f t="shared" ref="F131:F194" si="28">F130+O130</f>
        <v>913.40498127677404</v>
      </c>
      <c r="G131" s="13">
        <f t="shared" ref="G131:G194" si="29">F131-H131</f>
        <v>2.4532532113045136</v>
      </c>
      <c r="H131" s="5">
        <f t="shared" ref="H131:H194" si="30">H130+O123</f>
        <v>910.95172806546952</v>
      </c>
      <c r="I131" s="22">
        <f t="shared" si="24"/>
        <v>2.7549700381700605E-2</v>
      </c>
      <c r="L131" s="19">
        <f t="shared" ref="L131:L194" si="31">$B$5*(1-B$2)*((1-H131/$B$3)*(1-$B$6)+$B$6)</f>
        <v>12.932448229222549</v>
      </c>
      <c r="M131" s="19">
        <f t="shared" ref="M131:M194" si="32">I131*L131</f>
        <v>0.35628507391693576</v>
      </c>
      <c r="N131" s="19">
        <f t="shared" si="27"/>
        <v>3.5743812883938242E-3</v>
      </c>
      <c r="O131" s="19">
        <f t="shared" si="25"/>
        <v>0.29404743386279114</v>
      </c>
    </row>
    <row r="132" spans="1:15" x14ac:dyDescent="0.25">
      <c r="A132" s="32">
        <v>9.2000007629394531E-2</v>
      </c>
      <c r="B132" s="1">
        <v>524.45000317684628</v>
      </c>
      <c r="C132" s="34">
        <v>1.4428119757537843</v>
      </c>
      <c r="D132">
        <v>130</v>
      </c>
      <c r="E132" s="13">
        <f t="shared" si="26"/>
        <v>86.300971289363133</v>
      </c>
      <c r="F132" s="13">
        <f t="shared" si="28"/>
        <v>913.69902871063687</v>
      </c>
      <c r="G132" s="13">
        <f t="shared" si="29"/>
        <v>2.3495843011456827</v>
      </c>
      <c r="H132" s="5">
        <f t="shared" si="30"/>
        <v>911.34944440949118</v>
      </c>
      <c r="I132" s="22">
        <f t="shared" ref="I132:I195" si="33">G132/(E132+G132)</f>
        <v>2.6503886924282693E-2</v>
      </c>
      <c r="L132" s="19">
        <f t="shared" si="31"/>
        <v>12.927725347637292</v>
      </c>
      <c r="M132" s="19">
        <f t="shared" si="32"/>
        <v>0.34263497080196198</v>
      </c>
      <c r="N132" s="19">
        <f t="shared" si="27"/>
        <v>3.4376741532221589E-3</v>
      </c>
      <c r="O132" s="19">
        <f t="shared" ref="O132:O195" si="34">E132*(1-B$2)*N132</f>
        <v>0.28184088747944069</v>
      </c>
    </row>
    <row r="133" spans="1:15" x14ac:dyDescent="0.25">
      <c r="A133" s="32">
        <v>9.3000009655952454E-2</v>
      </c>
      <c r="B133" s="1">
        <v>517.84874589688263</v>
      </c>
      <c r="C133" s="34">
        <v>1.4396357193471792</v>
      </c>
      <c r="D133">
        <v>131</v>
      </c>
      <c r="E133" s="13">
        <f t="shared" si="26"/>
        <v>86.019130401883672</v>
      </c>
      <c r="F133" s="13">
        <f t="shared" si="28"/>
        <v>913.98086959811633</v>
      </c>
      <c r="G133" s="13">
        <f t="shared" si="29"/>
        <v>2.2507349300367423</v>
      </c>
      <c r="H133" s="5">
        <f t="shared" si="30"/>
        <v>911.73013466807959</v>
      </c>
      <c r="I133" s="22">
        <f t="shared" si="33"/>
        <v>2.5498338777037024E-2</v>
      </c>
      <c r="L133" s="19">
        <f t="shared" si="31"/>
        <v>12.923204650816553</v>
      </c>
      <c r="M133" s="19">
        <f t="shared" si="32"/>
        <v>0.32952025027150089</v>
      </c>
      <c r="N133" s="19">
        <f t="shared" si="27"/>
        <v>3.3063112608656686E-3</v>
      </c>
      <c r="O133" s="19">
        <f t="shared" si="34"/>
        <v>0.27018571852273932</v>
      </c>
    </row>
    <row r="134" spans="1:15" x14ac:dyDescent="0.25">
      <c r="A134" s="32">
        <v>9.4000011682510376E-2</v>
      </c>
      <c r="B134" s="1">
        <v>511.21755260931502</v>
      </c>
      <c r="C134" s="34">
        <v>1.4364629629547598</v>
      </c>
      <c r="D134">
        <v>132</v>
      </c>
      <c r="E134" s="13">
        <f t="shared" si="26"/>
        <v>85.748944683360946</v>
      </c>
      <c r="F134" s="13">
        <f t="shared" si="28"/>
        <v>914.25105531663905</v>
      </c>
      <c r="G134" s="13">
        <f t="shared" si="29"/>
        <v>2.1564486397677456</v>
      </c>
      <c r="H134" s="5">
        <f t="shared" si="30"/>
        <v>912.09460667687131</v>
      </c>
      <c r="I134" s="22">
        <f t="shared" si="33"/>
        <v>2.4531471372193549E-2</v>
      </c>
      <c r="L134" s="19">
        <f t="shared" si="31"/>
        <v>12.918876545712155</v>
      </c>
      <c r="M134" s="19">
        <f t="shared" si="32"/>
        <v>0.31691905014204041</v>
      </c>
      <c r="N134" s="19">
        <f t="shared" si="27"/>
        <v>3.1800757060097551E-3</v>
      </c>
      <c r="O134" s="19">
        <f t="shared" si="34"/>
        <v>0.25905372901335394</v>
      </c>
    </row>
    <row r="135" spans="1:15" x14ac:dyDescent="0.25">
      <c r="A135" s="32">
        <v>9.5000013709068298E-2</v>
      </c>
      <c r="B135" s="1">
        <v>504.55894460765154</v>
      </c>
      <c r="C135" s="34">
        <v>1.4332937065765268</v>
      </c>
      <c r="D135">
        <v>133</v>
      </c>
      <c r="E135" s="13">
        <f t="shared" si="26"/>
        <v>85.489890954347629</v>
      </c>
      <c r="F135" s="13">
        <f t="shared" si="28"/>
        <v>914.51010904565237</v>
      </c>
      <c r="G135" s="13">
        <f t="shared" si="29"/>
        <v>2.0664849352212968</v>
      </c>
      <c r="H135" s="5">
        <f t="shared" si="30"/>
        <v>912.44362411043107</v>
      </c>
      <c r="I135" s="22">
        <f t="shared" si="33"/>
        <v>2.3601764168810106E-2</v>
      </c>
      <c r="L135" s="19">
        <f t="shared" si="31"/>
        <v>12.914731963688633</v>
      </c>
      <c r="M135" s="19">
        <f t="shared" si="32"/>
        <v>0.30481045811037294</v>
      </c>
      <c r="N135" s="19">
        <f t="shared" si="27"/>
        <v>3.0587599083778949E-3</v>
      </c>
      <c r="O135" s="19">
        <f t="shared" si="34"/>
        <v>0.24841839847161876</v>
      </c>
    </row>
    <row r="136" spans="1:15" x14ac:dyDescent="0.25">
      <c r="A136" s="32">
        <v>9.6000015735626221E-2</v>
      </c>
      <c r="B136" s="1">
        <v>497.87550989236701</v>
      </c>
      <c r="C136" s="34">
        <v>1.4301279502124791</v>
      </c>
      <c r="D136">
        <v>134</v>
      </c>
      <c r="E136" s="13">
        <f t="shared" si="26"/>
        <v>85.241472555876044</v>
      </c>
      <c r="F136" s="13">
        <f t="shared" si="28"/>
        <v>914.75852744412396</v>
      </c>
      <c r="G136" s="13">
        <f t="shared" si="29"/>
        <v>1.980618131370079</v>
      </c>
      <c r="H136" s="5">
        <f t="shared" si="30"/>
        <v>912.77790931275388</v>
      </c>
      <c r="I136" s="22">
        <f t="shared" si="33"/>
        <v>2.2707758043452757E-2</v>
      </c>
      <c r="L136" s="19">
        <f t="shared" si="31"/>
        <v>12.910762326911048</v>
      </c>
      <c r="M136" s="19">
        <f t="shared" si="32"/>
        <v>0.29317446707602118</v>
      </c>
      <c r="N136" s="19">
        <f t="shared" si="27"/>
        <v>2.9421651815735306E-3</v>
      </c>
      <c r="O136" s="19">
        <f t="shared" si="34"/>
        <v>0.23825476795095643</v>
      </c>
    </row>
    <row r="137" spans="1:15" x14ac:dyDescent="0.25">
      <c r="A137" s="32">
        <v>9.7000017762184143E-2</v>
      </c>
      <c r="B137" s="1">
        <v>491.16989930637612</v>
      </c>
      <c r="C137" s="34">
        <v>1.4269656938626178</v>
      </c>
      <c r="D137">
        <v>135</v>
      </c>
      <c r="E137" s="13">
        <f t="shared" si="26"/>
        <v>85.003217787925109</v>
      </c>
      <c r="F137" s="13">
        <f t="shared" si="28"/>
        <v>914.99678221207489</v>
      </c>
      <c r="G137" s="13">
        <f t="shared" si="29"/>
        <v>1.8986362943958284</v>
      </c>
      <c r="H137" s="5">
        <f t="shared" si="30"/>
        <v>913.09814591767906</v>
      </c>
      <c r="I137" s="22">
        <f t="shared" si="33"/>
        <v>2.1848052776840366E-2</v>
      </c>
      <c r="L137" s="19">
        <f t="shared" si="31"/>
        <v>12.906959517227561</v>
      </c>
      <c r="M137" s="19">
        <f t="shared" si="32"/>
        <v>0.28199193272092982</v>
      </c>
      <c r="N137" s="19">
        <f t="shared" si="27"/>
        <v>2.8301013231255556E-3</v>
      </c>
      <c r="O137" s="19">
        <f t="shared" si="34"/>
        <v>0.22853933317495978</v>
      </c>
    </row>
    <row r="138" spans="1:15" x14ac:dyDescent="0.25">
      <c r="A138" s="32">
        <v>9.8000019788742065E-2</v>
      </c>
      <c r="B138" s="1">
        <v>484.44482240011314</v>
      </c>
      <c r="C138" s="34">
        <v>1.423806937526942</v>
      </c>
      <c r="D138">
        <v>136</v>
      </c>
      <c r="E138" s="13">
        <f t="shared" si="26"/>
        <v>84.774678454750187</v>
      </c>
      <c r="F138" s="13">
        <f t="shared" si="28"/>
        <v>915.22532154524981</v>
      </c>
      <c r="G138" s="13">
        <f t="shared" si="29"/>
        <v>1.8203402684757748</v>
      </c>
      <c r="H138" s="5">
        <f t="shared" si="30"/>
        <v>913.40498127677404</v>
      </c>
      <c r="I138" s="22">
        <f t="shared" si="33"/>
        <v>2.1021304635246124E-2</v>
      </c>
      <c r="L138" s="19">
        <f t="shared" si="31"/>
        <v>12.903315847338309</v>
      </c>
      <c r="M138" s="19">
        <f t="shared" si="32"/>
        <v>0.27124453323169756</v>
      </c>
      <c r="N138" s="19">
        <f t="shared" si="27"/>
        <v>2.7223862247119923E-3</v>
      </c>
      <c r="O138" s="19">
        <f t="shared" si="34"/>
        <v>0.21924994598812042</v>
      </c>
    </row>
    <row r="139" spans="1:15" x14ac:dyDescent="0.25">
      <c r="A139" s="32">
        <v>9.9000021815299988E-2</v>
      </c>
      <c r="B139" s="1">
        <v>477.70304303774122</v>
      </c>
      <c r="C139" s="34">
        <v>1.4206516812054524</v>
      </c>
      <c r="D139">
        <v>137</v>
      </c>
      <c r="E139" s="13">
        <f t="shared" si="26"/>
        <v>84.55542850876202</v>
      </c>
      <c r="F139" s="13">
        <f t="shared" si="28"/>
        <v>915.44457149123798</v>
      </c>
      <c r="G139" s="13">
        <f t="shared" si="29"/>
        <v>1.745542780601113</v>
      </c>
      <c r="H139" s="5">
        <f t="shared" si="30"/>
        <v>913.69902871063687</v>
      </c>
      <c r="I139" s="22">
        <f t="shared" si="33"/>
        <v>2.0226224045015548E-2</v>
      </c>
      <c r="L139" s="19">
        <f t="shared" si="31"/>
        <v>12.899824034061188</v>
      </c>
      <c r="M139" s="19">
        <f t="shared" si="32"/>
        <v>0.26091473105419788</v>
      </c>
      <c r="N139" s="19">
        <f t="shared" si="27"/>
        <v>2.6188455015683232E-3</v>
      </c>
      <c r="O139" s="19">
        <f t="shared" si="34"/>
        <v>0.21036572340418569</v>
      </c>
    </row>
    <row r="140" spans="1:15" x14ac:dyDescent="0.25">
      <c r="A140" s="32">
        <v>0.10000002384185791</v>
      </c>
      <c r="B140" s="1">
        <v>470.94737475815054</v>
      </c>
      <c r="C140" s="34">
        <v>1.4174999248981486</v>
      </c>
      <c r="D140">
        <v>138</v>
      </c>
      <c r="E140" s="13">
        <f t="shared" si="26"/>
        <v>84.345062785357868</v>
      </c>
      <c r="F140" s="13">
        <f t="shared" si="28"/>
        <v>915.65493721464213</v>
      </c>
      <c r="G140" s="13">
        <f t="shared" si="29"/>
        <v>1.6740676165258037</v>
      </c>
      <c r="H140" s="5">
        <f t="shared" si="30"/>
        <v>913.98086959811633</v>
      </c>
      <c r="I140" s="22">
        <f t="shared" si="33"/>
        <v>1.9461573358211311E-2</v>
      </c>
      <c r="L140" s="19">
        <f t="shared" si="31"/>
        <v>12.896477173522371</v>
      </c>
      <c r="M140" s="19">
        <f t="shared" si="32"/>
        <v>0.25098573657500328</v>
      </c>
      <c r="N140" s="19">
        <f t="shared" si="27"/>
        <v>2.5193121401272389E-3</v>
      </c>
      <c r="O140" s="19">
        <f t="shared" si="34"/>
        <v>0.20186696360319895</v>
      </c>
    </row>
    <row r="141" spans="1:15" x14ac:dyDescent="0.25">
      <c r="A141" s="32">
        <v>0.10100002586841583</v>
      </c>
      <c r="B141" s="1">
        <v>464.18067590628254</v>
      </c>
      <c r="C141" s="34">
        <v>1.4143516686050308</v>
      </c>
      <c r="D141">
        <v>139</v>
      </c>
      <c r="E141" s="13">
        <f t="shared" si="26"/>
        <v>84.143195821754716</v>
      </c>
      <c r="F141" s="13">
        <f t="shared" si="28"/>
        <v>915.85680417824528</v>
      </c>
      <c r="G141" s="13">
        <f t="shared" si="29"/>
        <v>1.6057488616062301</v>
      </c>
      <c r="H141" s="5">
        <f t="shared" si="30"/>
        <v>914.25105531663905</v>
      </c>
      <c r="I141" s="22">
        <f t="shared" si="33"/>
        <v>1.8726164707165378E-2</v>
      </c>
      <c r="L141" s="19">
        <f t="shared" si="31"/>
        <v>12.893268718114912</v>
      </c>
      <c r="M141" s="19">
        <f t="shared" si="32"/>
        <v>0.24144147362916288</v>
      </c>
      <c r="N141" s="19">
        <f t="shared" si="27"/>
        <v>2.4236261629750899E-3</v>
      </c>
      <c r="O141" s="19">
        <f t="shared" si="34"/>
        <v>0.19373506828844395</v>
      </c>
    </row>
    <row r="142" spans="1:15" x14ac:dyDescent="0.25">
      <c r="A142" s="32">
        <v>0.10200002789497375</v>
      </c>
      <c r="B142" s="1">
        <v>457.40584455191754</v>
      </c>
      <c r="C142" s="34">
        <v>1.4112069123260989</v>
      </c>
      <c r="D142">
        <v>140</v>
      </c>
      <c r="E142" s="13">
        <f t="shared" si="26"/>
        <v>83.949460753466269</v>
      </c>
      <c r="F142" s="13">
        <f t="shared" si="28"/>
        <v>916.05053924653373</v>
      </c>
      <c r="G142" s="13">
        <f t="shared" si="29"/>
        <v>1.5404302008813602</v>
      </c>
      <c r="H142" s="5">
        <f t="shared" si="30"/>
        <v>914.51010904565237</v>
      </c>
      <c r="I142" s="22">
        <f t="shared" si="33"/>
        <v>1.8018857945484617E-2</v>
      </c>
      <c r="L142" s="19">
        <f t="shared" si="31"/>
        <v>12.890192455082877</v>
      </c>
      <c r="M142" s="19">
        <f t="shared" si="32"/>
        <v>0.23226654673809596</v>
      </c>
      <c r="N142" s="19">
        <f t="shared" si="27"/>
        <v>2.3316343102454118E-3</v>
      </c>
      <c r="O142" s="19">
        <f t="shared" si="34"/>
        <v>0.18595247086841346</v>
      </c>
    </row>
    <row r="143" spans="1:15" x14ac:dyDescent="0.25">
      <c r="A143" s="32">
        <v>0.10300002992153168</v>
      </c>
      <c r="B143" s="1">
        <v>450.62581321406304</v>
      </c>
      <c r="C143" s="34">
        <v>1.4080656560613531</v>
      </c>
      <c r="D143">
        <v>141</v>
      </c>
      <c r="E143" s="13">
        <f t="shared" si="26"/>
        <v>83.763508282597854</v>
      </c>
      <c r="F143" s="13">
        <f t="shared" si="28"/>
        <v>916.23649171740215</v>
      </c>
      <c r="G143" s="13">
        <f t="shared" si="29"/>
        <v>1.4779642732781895</v>
      </c>
      <c r="H143" s="5">
        <f t="shared" si="30"/>
        <v>914.75852744412396</v>
      </c>
      <c r="I143" s="22">
        <f t="shared" si="33"/>
        <v>1.7338558672943847E-2</v>
      </c>
      <c r="L143" s="19">
        <f t="shared" si="31"/>
        <v>12.887242486601028</v>
      </c>
      <c r="M143" s="19">
        <f t="shared" si="32"/>
        <v>0.2234462099863867</v>
      </c>
      <c r="N143" s="19">
        <f t="shared" si="27"/>
        <v>2.2431897366143039E-3</v>
      </c>
      <c r="O143" s="19">
        <f t="shared" si="34"/>
        <v>0.17850256997821418</v>
      </c>
    </row>
    <row r="144" spans="1:15" x14ac:dyDescent="0.25">
      <c r="A144" s="32">
        <v>0.1040000319480896</v>
      </c>
      <c r="B144" s="1">
        <v>443.84354341145968</v>
      </c>
      <c r="C144" s="34">
        <v>1.4049278998107928</v>
      </c>
      <c r="D144">
        <v>142</v>
      </c>
      <c r="E144" s="13">
        <f t="shared" si="26"/>
        <v>83.585005712619591</v>
      </c>
      <c r="F144" s="13">
        <f t="shared" si="28"/>
        <v>916.41499428738041</v>
      </c>
      <c r="G144" s="13">
        <f t="shared" si="29"/>
        <v>1.4182120753055187</v>
      </c>
      <c r="H144" s="5">
        <f t="shared" si="30"/>
        <v>914.99678221207489</v>
      </c>
      <c r="I144" s="22">
        <f t="shared" si="33"/>
        <v>1.6684216341595705E-2</v>
      </c>
      <c r="L144" s="19">
        <f t="shared" si="31"/>
        <v>12.884413211231609</v>
      </c>
      <c r="M144" s="19">
        <f t="shared" si="32"/>
        <v>0.21496633745070198</v>
      </c>
      <c r="N144" s="19">
        <f t="shared" si="27"/>
        <v>2.1581517230979674E-3</v>
      </c>
      <c r="O144" s="19">
        <f t="shared" si="34"/>
        <v>0.17136966789865124</v>
      </c>
    </row>
    <row r="145" spans="1:15" x14ac:dyDescent="0.25">
      <c r="A145" s="32">
        <v>0.10500003397464752</v>
      </c>
      <c r="B145" s="1">
        <v>437.06202006070868</v>
      </c>
      <c r="C145" s="34">
        <v>1.4017936435744189</v>
      </c>
      <c r="D145">
        <v>143</v>
      </c>
      <c r="E145" s="13">
        <f t="shared" si="26"/>
        <v>83.413636044720988</v>
      </c>
      <c r="F145" s="13">
        <f t="shared" si="28"/>
        <v>916.58636395527901</v>
      </c>
      <c r="G145" s="13">
        <f t="shared" si="29"/>
        <v>1.3610424100291993</v>
      </c>
      <c r="H145" s="5">
        <f t="shared" si="30"/>
        <v>915.22532154524981</v>
      </c>
      <c r="I145" s="22">
        <f t="shared" si="33"/>
        <v>1.6054822440354957E-2</v>
      </c>
      <c r="L145" s="19">
        <f t="shared" si="31"/>
        <v>12.881699306650157</v>
      </c>
      <c r="M145" s="19">
        <f t="shared" si="32"/>
        <v>0.20681339509831184</v>
      </c>
      <c r="N145" s="19">
        <f t="shared" si="27"/>
        <v>2.0763854028892359E-3</v>
      </c>
      <c r="O145" s="19">
        <f t="shared" si="34"/>
        <v>0.16453891347091537</v>
      </c>
    </row>
    <row r="146" spans="1:15" x14ac:dyDescent="0.25">
      <c r="A146" s="32">
        <v>0.10600003600120544</v>
      </c>
      <c r="B146" s="1">
        <v>430.2842457439383</v>
      </c>
      <c r="C146" s="34">
        <v>1.3986628873522304</v>
      </c>
      <c r="D146">
        <v>144</v>
      </c>
      <c r="E146" s="13">
        <f t="shared" si="26"/>
        <v>83.249097131250096</v>
      </c>
      <c r="F146" s="13">
        <f t="shared" si="28"/>
        <v>916.7509028687499</v>
      </c>
      <c r="G146" s="13">
        <f t="shared" si="29"/>
        <v>1.3063313775119241</v>
      </c>
      <c r="H146" s="5">
        <f t="shared" si="30"/>
        <v>915.44457149123798</v>
      </c>
      <c r="I146" s="22">
        <f t="shared" si="33"/>
        <v>1.5449408755306065E-2</v>
      </c>
      <c r="L146" s="19">
        <f t="shared" si="31"/>
        <v>12.879095713541549</v>
      </c>
      <c r="M146" s="19">
        <f t="shared" si="32"/>
        <v>0.19897441407721361</v>
      </c>
      <c r="N146" s="19">
        <f t="shared" si="27"/>
        <v>1.9977615005120075E-3</v>
      </c>
      <c r="O146" s="19">
        <f t="shared" si="34"/>
        <v>0.15799624914113625</v>
      </c>
    </row>
    <row r="147" spans="1:15" x14ac:dyDescent="0.25">
      <c r="A147" s="32">
        <v>0.10700003802776337</v>
      </c>
      <c r="B147" s="1">
        <v>423.51323487053259</v>
      </c>
      <c r="C147" s="34">
        <v>1.3955356311442282</v>
      </c>
      <c r="D147">
        <v>145</v>
      </c>
      <c r="E147" s="13">
        <f t="shared" si="26"/>
        <v>83.091100882109004</v>
      </c>
      <c r="F147" s="13">
        <f t="shared" si="28"/>
        <v>916.908899117891</v>
      </c>
      <c r="G147" s="13">
        <f t="shared" si="29"/>
        <v>1.2539619032488645</v>
      </c>
      <c r="H147" s="5">
        <f t="shared" si="30"/>
        <v>915.65493721464213</v>
      </c>
      <c r="I147" s="22">
        <f t="shared" si="33"/>
        <v>1.4867045702959032E-2</v>
      </c>
      <c r="L147" s="19">
        <f t="shared" si="31"/>
        <v>12.876597620576126</v>
      </c>
      <c r="M147" s="19">
        <f t="shared" si="32"/>
        <v>0.19143696532371879</v>
      </c>
      <c r="N147" s="19">
        <f t="shared" si="27"/>
        <v>1.9221560836025775E-3</v>
      </c>
      <c r="O147" s="19">
        <f t="shared" si="34"/>
        <v>0.15172836180109225</v>
      </c>
    </row>
    <row r="148" spans="1:15" x14ac:dyDescent="0.25">
      <c r="A148" s="32">
        <v>0.10800004005432129</v>
      </c>
      <c r="B148" s="1">
        <v>416.75200775672477</v>
      </c>
      <c r="C148" s="34">
        <v>1.3924118749504117</v>
      </c>
      <c r="D148">
        <v>146</v>
      </c>
      <c r="E148" s="13">
        <f t="shared" si="26"/>
        <v>82.93937252030787</v>
      </c>
      <c r="F148" s="13">
        <f t="shared" si="28"/>
        <v>917.06062747969213</v>
      </c>
      <c r="G148" s="13">
        <f t="shared" si="29"/>
        <v>1.203823301446846</v>
      </c>
      <c r="H148" s="5">
        <f t="shared" si="30"/>
        <v>915.85680417824528</v>
      </c>
      <c r="I148" s="22">
        <f t="shared" si="33"/>
        <v>1.4306840733705585E-2</v>
      </c>
      <c r="L148" s="19">
        <f t="shared" si="31"/>
        <v>12.874200450383336</v>
      </c>
      <c r="M148" s="19">
        <f t="shared" si="32"/>
        <v>0.18418913541743512</v>
      </c>
      <c r="N148" s="19">
        <f t="shared" si="27"/>
        <v>1.8494503266657247E-3</v>
      </c>
      <c r="O148" s="19">
        <f t="shared" si="34"/>
        <v>0.14572263712107694</v>
      </c>
    </row>
    <row r="149" spans="1:15" x14ac:dyDescent="0.25">
      <c r="A149" s="32">
        <v>0.10900004208087921</v>
      </c>
      <c r="B149" s="1">
        <v>410.00358464849916</v>
      </c>
      <c r="C149" s="34">
        <v>1.3892916187707813</v>
      </c>
      <c r="D149">
        <v>147</v>
      </c>
      <c r="E149" s="13">
        <f t="shared" si="26"/>
        <v>82.793649883186845</v>
      </c>
      <c r="F149" s="13">
        <f t="shared" si="28"/>
        <v>917.20635011681316</v>
      </c>
      <c r="G149" s="13">
        <f t="shared" si="29"/>
        <v>1.1558108702794243</v>
      </c>
      <c r="H149" s="5">
        <f t="shared" si="30"/>
        <v>916.05053924653373</v>
      </c>
      <c r="I149" s="22">
        <f t="shared" si="33"/>
        <v>1.3767936802759045E-2</v>
      </c>
      <c r="L149" s="19">
        <f t="shared" si="31"/>
        <v>12.871899846447413</v>
      </c>
      <c r="M149" s="19">
        <f t="shared" si="32"/>
        <v>0.17721950361733182</v>
      </c>
      <c r="N149" s="19">
        <f t="shared" si="27"/>
        <v>1.7795302861851603E-3</v>
      </c>
      <c r="O149" s="19">
        <f t="shared" si="34"/>
        <v>0.13996711709739437</v>
      </c>
    </row>
    <row r="150" spans="1:15" x14ac:dyDescent="0.25">
      <c r="A150" s="32">
        <v>0.11000004410743713</v>
      </c>
      <c r="B150" s="1">
        <v>403.27097971381454</v>
      </c>
      <c r="C150" s="34">
        <v>1.3861748626053367</v>
      </c>
      <c r="D150">
        <v>148</v>
      </c>
      <c r="E150" s="13">
        <f t="shared" si="26"/>
        <v>82.653682766089446</v>
      </c>
      <c r="F150" s="13">
        <f t="shared" si="28"/>
        <v>917.34631723391055</v>
      </c>
      <c r="G150" s="13">
        <f t="shared" si="29"/>
        <v>1.1098255165084083</v>
      </c>
      <c r="H150" s="5">
        <f t="shared" si="30"/>
        <v>916.23649171740215</v>
      </c>
      <c r="I150" s="22">
        <f t="shared" si="33"/>
        <v>1.3249510905920093E-2</v>
      </c>
      <c r="L150" s="19">
        <f t="shared" si="31"/>
        <v>12.86969166085585</v>
      </c>
      <c r="M150" s="19">
        <f t="shared" si="32"/>
        <v>0.17051712001633845</v>
      </c>
      <c r="N150" s="19">
        <f t="shared" si="27"/>
        <v>1.7122866865031394E-3</v>
      </c>
      <c r="O150" s="19">
        <f t="shared" si="34"/>
        <v>0.13445046056128748</v>
      </c>
    </row>
    <row r="151" spans="1:15" x14ac:dyDescent="0.25">
      <c r="A151" s="32">
        <v>0.11100004613399506</v>
      </c>
      <c r="B151" s="1">
        <v>396.55719502955333</v>
      </c>
      <c r="C151" s="34">
        <v>1.3830616064540784</v>
      </c>
      <c r="D151">
        <v>149</v>
      </c>
      <c r="E151" s="13">
        <f t="shared" si="26"/>
        <v>82.519232305528135</v>
      </c>
      <c r="F151" s="13">
        <f t="shared" si="28"/>
        <v>917.48076769447187</v>
      </c>
      <c r="G151" s="13">
        <f t="shared" si="29"/>
        <v>1.0657734070914557</v>
      </c>
      <c r="H151" s="5">
        <f t="shared" si="30"/>
        <v>916.41499428738041</v>
      </c>
      <c r="I151" s="22">
        <f t="shared" si="33"/>
        <v>1.2750772677527569E-2</v>
      </c>
      <c r="L151" s="19">
        <f t="shared" si="31"/>
        <v>12.867571942837357</v>
      </c>
      <c r="M151" s="19">
        <f t="shared" si="32"/>
        <v>0.16407148475485089</v>
      </c>
      <c r="N151" s="19">
        <f t="shared" si="27"/>
        <v>1.6476147159076859E-3</v>
      </c>
      <c r="O151" s="19">
        <f t="shared" si="34"/>
        <v>0.12916190641739342</v>
      </c>
    </row>
    <row r="152" spans="1:15" x14ac:dyDescent="0.25">
      <c r="A152" s="32">
        <v>0.11200004816055298</v>
      </c>
      <c r="B152" s="1">
        <v>389.86521458990347</v>
      </c>
      <c r="C152" s="34">
        <v>1.3799518503170054</v>
      </c>
      <c r="D152">
        <v>150</v>
      </c>
      <c r="E152" s="13">
        <f t="shared" si="26"/>
        <v>82.390070399110755</v>
      </c>
      <c r="F152" s="13">
        <f t="shared" si="28"/>
        <v>917.60992960088925</v>
      </c>
      <c r="G152" s="13">
        <f t="shared" si="29"/>
        <v>1.0235656456102333</v>
      </c>
      <c r="H152" s="5">
        <f t="shared" si="30"/>
        <v>916.58636395527901</v>
      </c>
      <c r="I152" s="22">
        <f t="shared" si="33"/>
        <v>1.2270963048073624E-2</v>
      </c>
      <c r="L152" s="19">
        <f t="shared" si="31"/>
        <v>12.865536928031062</v>
      </c>
      <c r="M152" s="19">
        <f t="shared" si="32"/>
        <v>0.15787252823749581</v>
      </c>
      <c r="N152" s="19">
        <f t="shared" si="27"/>
        <v>1.5854138324046252E-3</v>
      </c>
      <c r="O152" s="19">
        <f t="shared" si="34"/>
        <v>0.12409123940036398</v>
      </c>
    </row>
    <row r="153" spans="1:15" x14ac:dyDescent="0.25">
      <c r="A153" s="32">
        <v>0.1130000501871109</v>
      </c>
      <c r="B153" s="1">
        <v>383.19799836205351</v>
      </c>
      <c r="C153" s="34">
        <v>1.3768455941941189</v>
      </c>
      <c r="D153">
        <v>151</v>
      </c>
      <c r="E153" s="13">
        <f t="shared" si="26"/>
        <v>82.265979159710355</v>
      </c>
      <c r="F153" s="13">
        <f t="shared" si="28"/>
        <v>917.73402084028965</v>
      </c>
      <c r="G153" s="13">
        <f t="shared" si="29"/>
        <v>0.98311797153974112</v>
      </c>
      <c r="H153" s="5">
        <f t="shared" si="30"/>
        <v>916.7509028687499</v>
      </c>
      <c r="I153" s="22">
        <f t="shared" si="33"/>
        <v>1.1809352958984796E-2</v>
      </c>
      <c r="L153" s="19">
        <f t="shared" si="31"/>
        <v>12.863583028433595</v>
      </c>
      <c r="M153" s="19">
        <f t="shared" si="32"/>
        <v>0.15191059229997889</v>
      </c>
      <c r="N153" s="19">
        <f t="shared" si="27"/>
        <v>1.5255875786733819E-3</v>
      </c>
      <c r="O153" s="19">
        <f t="shared" si="34"/>
        <v>0.11922875815578454</v>
      </c>
    </row>
    <row r="154" spans="1:15" x14ac:dyDescent="0.25">
      <c r="A154" s="32">
        <v>0.11400005221366882</v>
      </c>
      <c r="B154" s="1">
        <v>376.5584764151609</v>
      </c>
      <c r="C154" s="34">
        <v>1.3737428380854178</v>
      </c>
      <c r="D154">
        <v>152</v>
      </c>
      <c r="E154" s="13">
        <f t="shared" si="26"/>
        <v>82.146750401554527</v>
      </c>
      <c r="F154" s="13">
        <f t="shared" si="28"/>
        <v>917.85324959844547</v>
      </c>
      <c r="G154" s="13">
        <f t="shared" si="29"/>
        <v>0.94435048055447623</v>
      </c>
      <c r="H154" s="5">
        <f t="shared" si="30"/>
        <v>916.908899117891</v>
      </c>
      <c r="I154" s="22">
        <f t="shared" si="33"/>
        <v>1.1365242132178944E-2</v>
      </c>
      <c r="L154" s="19">
        <f t="shared" si="31"/>
        <v>12.861706822975043</v>
      </c>
      <c r="M154" s="19">
        <f t="shared" si="32"/>
        <v>0.14617641227620934</v>
      </c>
      <c r="N154" s="19">
        <f t="shared" si="27"/>
        <v>1.4680434057340319E-3</v>
      </c>
      <c r="O154" s="19">
        <f t="shared" si="34"/>
        <v>0.11456524546800748</v>
      </c>
    </row>
    <row r="155" spans="1:15" x14ac:dyDescent="0.25">
      <c r="A155" s="32">
        <v>0.11500005424022675</v>
      </c>
      <c r="B155" s="1">
        <v>369.9495431475903</v>
      </c>
      <c r="C155" s="34">
        <v>1.3706435819909029</v>
      </c>
      <c r="D155">
        <v>153</v>
      </c>
      <c r="E155" s="13">
        <f t="shared" si="26"/>
        <v>82.032185156086484</v>
      </c>
      <c r="F155" s="13">
        <f t="shared" si="28"/>
        <v>917.96781484391352</v>
      </c>
      <c r="G155" s="13">
        <f t="shared" si="29"/>
        <v>0.90718736422138591</v>
      </c>
      <c r="H155" s="5">
        <f t="shared" si="30"/>
        <v>917.06062747969213</v>
      </c>
      <c r="I155" s="22">
        <f t="shared" si="33"/>
        <v>1.0937957892064584E-2</v>
      </c>
      <c r="L155" s="19">
        <f t="shared" si="31"/>
        <v>12.859905048678657</v>
      </c>
      <c r="M155" s="19">
        <f t="shared" si="32"/>
        <v>0.1406610999183959</v>
      </c>
      <c r="N155" s="19">
        <f t="shared" si="27"/>
        <v>1.4126925048790762E-3</v>
      </c>
      <c r="O155" s="19">
        <f t="shared" si="34"/>
        <v>0.11009194047241318</v>
      </c>
    </row>
    <row r="156" spans="1:15" x14ac:dyDescent="0.25">
      <c r="A156" s="32">
        <v>0.11600005626678467</v>
      </c>
      <c r="B156" s="1">
        <v>363.37405163782455</v>
      </c>
      <c r="C156" s="34">
        <v>1.3675478259105738</v>
      </c>
      <c r="D156">
        <v>154</v>
      </c>
      <c r="E156" s="13">
        <f t="shared" si="26"/>
        <v>81.922093215614041</v>
      </c>
      <c r="F156" s="13">
        <f t="shared" si="28"/>
        <v>918.07790678438596</v>
      </c>
      <c r="G156" s="13">
        <f t="shared" si="29"/>
        <v>0.87155666757280414</v>
      </c>
      <c r="H156" s="5">
        <f t="shared" si="30"/>
        <v>917.20635011681316</v>
      </c>
      <c r="I156" s="22">
        <f t="shared" si="33"/>
        <v>1.052685403774902E-2</v>
      </c>
      <c r="L156" s="19">
        <f t="shared" si="31"/>
        <v>12.858174592362845</v>
      </c>
      <c r="M156" s="19">
        <f t="shared" si="32"/>
        <v>0.13535612712569667</v>
      </c>
      <c r="N156" s="19">
        <f t="shared" si="27"/>
        <v>1.3594496474479412E-3</v>
      </c>
      <c r="O156" s="19">
        <f t="shared" si="34"/>
        <v>0.10580051270315567</v>
      </c>
    </row>
    <row r="157" spans="1:15" x14ac:dyDescent="0.25">
      <c r="A157" s="32">
        <v>0.11700005829334259</v>
      </c>
      <c r="B157" s="1">
        <v>356.83480814224362</v>
      </c>
      <c r="C157" s="34">
        <v>1.3644555698444307</v>
      </c>
      <c r="D157">
        <v>155</v>
      </c>
      <c r="E157" s="13">
        <f t="shared" si="26"/>
        <v>81.816292702910914</v>
      </c>
      <c r="F157" s="13">
        <f t="shared" si="28"/>
        <v>918.18370729708909</v>
      </c>
      <c r="G157" s="13">
        <f t="shared" si="29"/>
        <v>0.83739006317853182</v>
      </c>
      <c r="H157" s="5">
        <f t="shared" si="30"/>
        <v>917.34631723391055</v>
      </c>
      <c r="I157" s="22">
        <f t="shared" si="33"/>
        <v>1.0131309763272764E-2</v>
      </c>
      <c r="L157" s="19">
        <f t="shared" si="31"/>
        <v>12.856512482847313</v>
      </c>
      <c r="M157" s="19">
        <f t="shared" si="32"/>
        <v>0.13025331043910915</v>
      </c>
      <c r="N157" s="19">
        <f t="shared" si="27"/>
        <v>1.3082330320418611E-3</v>
      </c>
      <c r="O157" s="19">
        <f t="shared" si="34"/>
        <v>0.10168303783949587</v>
      </c>
    </row>
    <row r="158" spans="1:15" x14ac:dyDescent="0.25">
      <c r="A158" s="32">
        <v>0.11800006031990051</v>
      </c>
      <c r="B158" s="1">
        <v>350.33456676323584</v>
      </c>
      <c r="C158" s="34">
        <v>1.3613668137924735</v>
      </c>
      <c r="D158">
        <v>156</v>
      </c>
      <c r="E158" s="13">
        <f t="shared" si="26"/>
        <v>81.714609665071407</v>
      </c>
      <c r="F158" s="13">
        <f t="shared" si="28"/>
        <v>918.28539033492859</v>
      </c>
      <c r="G158" s="13">
        <f t="shared" si="29"/>
        <v>0.80462264045672782</v>
      </c>
      <c r="H158" s="5">
        <f t="shared" si="30"/>
        <v>917.48076769447187</v>
      </c>
      <c r="I158" s="22">
        <f t="shared" si="33"/>
        <v>9.7507286238146997E-3</v>
      </c>
      <c r="L158" s="19">
        <f t="shared" si="31"/>
        <v>12.854915883628147</v>
      </c>
      <c r="M158" s="19">
        <f t="shared" si="32"/>
        <v>0.1253447962632232</v>
      </c>
      <c r="N158" s="19">
        <f t="shared" si="27"/>
        <v>1.2589641388052186E-3</v>
      </c>
      <c r="O158" s="19">
        <f t="shared" si="34"/>
        <v>9.7731975025551657E-2</v>
      </c>
    </row>
    <row r="159" spans="1:15" x14ac:dyDescent="0.25">
      <c r="A159" s="32">
        <v>0.11900006234645844</v>
      </c>
      <c r="B159" s="1">
        <v>343.87602430909732</v>
      </c>
      <c r="C159" s="34">
        <v>1.3582815577547025</v>
      </c>
      <c r="D159">
        <v>157</v>
      </c>
      <c r="E159" s="13">
        <f t="shared" si="26"/>
        <v>81.61687769004584</v>
      </c>
      <c r="F159" s="13">
        <f t="shared" si="28"/>
        <v>918.38312230995416</v>
      </c>
      <c r="G159" s="13">
        <f t="shared" si="29"/>
        <v>0.77319270906491511</v>
      </c>
      <c r="H159" s="5">
        <f t="shared" si="30"/>
        <v>917.60992960088925</v>
      </c>
      <c r="I159" s="22">
        <f t="shared" si="33"/>
        <v>9.3845375458407217E-3</v>
      </c>
      <c r="L159" s="19">
        <f t="shared" si="31"/>
        <v>12.853382085989439</v>
      </c>
      <c r="M159" s="19">
        <f t="shared" si="32"/>
        <v>0.12062304677700443</v>
      </c>
      <c r="N159" s="19">
        <f t="shared" si="27"/>
        <v>1.2115675904108558E-3</v>
      </c>
      <c r="O159" s="19">
        <f t="shared" si="34"/>
        <v>9.3940145647797041E-2</v>
      </c>
    </row>
    <row r="160" spans="1:15" x14ac:dyDescent="0.25">
      <c r="A160" s="32">
        <v>0.12000006437301636</v>
      </c>
      <c r="B160" s="1">
        <v>337.46181536610578</v>
      </c>
      <c r="C160" s="34">
        <v>1.3551998017311169</v>
      </c>
      <c r="D160">
        <v>158</v>
      </c>
      <c r="E160" s="13">
        <f t="shared" si="26"/>
        <v>81.522937544398019</v>
      </c>
      <c r="F160" s="13">
        <f t="shared" si="28"/>
        <v>918.47706245560198</v>
      </c>
      <c r="G160" s="13">
        <f t="shared" si="29"/>
        <v>0.74304161531233603</v>
      </c>
      <c r="H160" s="5">
        <f t="shared" si="30"/>
        <v>917.73402084028965</v>
      </c>
      <c r="I160" s="22">
        <f t="shared" si="33"/>
        <v>9.0321858792904216E-3</v>
      </c>
      <c r="L160" s="19">
        <f t="shared" si="31"/>
        <v>12.851908502521558</v>
      </c>
      <c r="M160" s="19">
        <f t="shared" si="32"/>
        <v>0.11608082649840773</v>
      </c>
      <c r="N160" s="19">
        <f t="shared" si="27"/>
        <v>1.1659710194147355E-3</v>
      </c>
      <c r="O160" s="19">
        <f t="shared" si="34"/>
        <v>9.03007134646093E-2</v>
      </c>
    </row>
    <row r="161" spans="1:15" x14ac:dyDescent="0.25">
      <c r="A161" s="32">
        <v>0.12100006639957428</v>
      </c>
      <c r="B161" s="1">
        <v>331.09450760226377</v>
      </c>
      <c r="C161" s="34">
        <v>1.3521215457217177</v>
      </c>
      <c r="D161">
        <v>159</v>
      </c>
      <c r="E161" s="13">
        <f t="shared" si="26"/>
        <v>81.432636830933461</v>
      </c>
      <c r="F161" s="13">
        <f t="shared" si="28"/>
        <v>918.56736316906654</v>
      </c>
      <c r="G161" s="13">
        <f t="shared" si="29"/>
        <v>0.71411357062106617</v>
      </c>
      <c r="H161" s="5">
        <f t="shared" si="30"/>
        <v>917.85324959844547</v>
      </c>
      <c r="I161" s="22">
        <f t="shared" si="33"/>
        <v>8.6931444899560201E-3</v>
      </c>
      <c r="L161" s="19">
        <f t="shared" si="31"/>
        <v>12.85049266101846</v>
      </c>
      <c r="M161" s="19">
        <f t="shared" si="32"/>
        <v>0.11171118946935291</v>
      </c>
      <c r="N161" s="19">
        <f t="shared" si="27"/>
        <v>1.1221049416596518E-3</v>
      </c>
      <c r="O161" s="19">
        <f t="shared" si="34"/>
        <v>8.6807165990347893E-2</v>
      </c>
    </row>
    <row r="162" spans="1:15" x14ac:dyDescent="0.25">
      <c r="A162" s="32">
        <v>0.1220000684261322</v>
      </c>
      <c r="B162" s="1">
        <v>324.77659731933102</v>
      </c>
      <c r="C162" s="34">
        <v>1.3490467897265039</v>
      </c>
      <c r="D162">
        <v>160</v>
      </c>
      <c r="E162" s="13">
        <f t="shared" si="26"/>
        <v>81.345829664943153</v>
      </c>
      <c r="F162" s="13">
        <f t="shared" si="28"/>
        <v>918.65417033505685</v>
      </c>
      <c r="G162" s="13">
        <f t="shared" si="29"/>
        <v>0.68635549114333116</v>
      </c>
      <c r="H162" s="5">
        <f t="shared" si="30"/>
        <v>917.96781484391352</v>
      </c>
      <c r="I162" s="22">
        <f t="shared" si="33"/>
        <v>8.3669048902862992E-3</v>
      </c>
      <c r="L162" s="19">
        <f t="shared" si="31"/>
        <v>12.849132198728526</v>
      </c>
      <c r="M162" s="19">
        <f t="shared" si="32"/>
        <v>0.10750746702947685</v>
      </c>
      <c r="N162" s="19">
        <f t="shared" si="27"/>
        <v>1.0799026354237906E-3</v>
      </c>
      <c r="O162" s="19">
        <f t="shared" si="34"/>
        <v>8.345329704411153E-2</v>
      </c>
    </row>
    <row r="163" spans="1:15" x14ac:dyDescent="0.25">
      <c r="A163" s="32">
        <v>0.12300007045269012</v>
      </c>
      <c r="B163" s="1">
        <v>318.51050526972097</v>
      </c>
      <c r="C163" s="34">
        <v>1.3459755337454764</v>
      </c>
      <c r="D163">
        <v>161</v>
      </c>
      <c r="E163" s="13">
        <f t="shared" si="26"/>
        <v>81.262376367899037</v>
      </c>
      <c r="F163" s="13">
        <f t="shared" si="28"/>
        <v>918.73762363210096</v>
      </c>
      <c r="G163" s="13">
        <f t="shared" si="29"/>
        <v>0.6597168477150035</v>
      </c>
      <c r="H163" s="5">
        <f t="shared" si="30"/>
        <v>918.07790678438596</v>
      </c>
      <c r="I163" s="22">
        <f t="shared" si="33"/>
        <v>8.0529784069197103E-3</v>
      </c>
      <c r="L163" s="19">
        <f t="shared" si="31"/>
        <v>12.847824856935416</v>
      </c>
      <c r="M163" s="19">
        <f t="shared" si="32"/>
        <v>0.10346325614878722</v>
      </c>
      <c r="N163" s="19">
        <f t="shared" si="27"/>
        <v>1.0393000260301433E-3</v>
      </c>
      <c r="O163" s="19">
        <f t="shared" si="34"/>
        <v>8.0233190380707323E-2</v>
      </c>
    </row>
    <row r="164" spans="1:15" x14ac:dyDescent="0.25">
      <c r="A164" s="32">
        <v>0.12400007247924805</v>
      </c>
      <c r="B164" s="1">
        <v>312.29857275159168</v>
      </c>
      <c r="C164" s="34">
        <v>1.3429077777786347</v>
      </c>
      <c r="D164">
        <v>162</v>
      </c>
      <c r="E164" s="13">
        <f t="shared" si="26"/>
        <v>81.182143177518356</v>
      </c>
      <c r="F164" s="13">
        <f t="shared" si="28"/>
        <v>918.81785682248164</v>
      </c>
      <c r="G164" s="13">
        <f t="shared" si="29"/>
        <v>0.63414952539255864</v>
      </c>
      <c r="H164" s="5">
        <f t="shared" si="30"/>
        <v>918.18370729708909</v>
      </c>
      <c r="I164" s="22">
        <f t="shared" si="33"/>
        <v>7.7508953833347726E-3</v>
      </c>
      <c r="L164" s="19">
        <f t="shared" si="31"/>
        <v>12.846568475847066</v>
      </c>
      <c r="M164" s="19">
        <f t="shared" si="32"/>
        <v>9.9572408291137046E-2</v>
      </c>
      <c r="N164" s="19">
        <f t="shared" si="27"/>
        <v>1.0002355756451031E-3</v>
      </c>
      <c r="O164" s="19">
        <f t="shared" si="34"/>
        <v>7.7141204327604837E-2</v>
      </c>
    </row>
    <row r="165" spans="1:15" x14ac:dyDescent="0.25">
      <c r="A165" s="32">
        <v>0.12500007450580597</v>
      </c>
      <c r="B165" s="1">
        <v>306.14305799505445</v>
      </c>
      <c r="C165" s="34">
        <v>1.339843521825979</v>
      </c>
      <c r="D165">
        <v>163</v>
      </c>
      <c r="E165" s="13">
        <f t="shared" si="26"/>
        <v>81.105001973190724</v>
      </c>
      <c r="F165" s="13">
        <f t="shared" si="28"/>
        <v>918.89499802680928</v>
      </c>
      <c r="G165" s="13">
        <f t="shared" si="29"/>
        <v>0.60960769188068298</v>
      </c>
      <c r="H165" s="5">
        <f t="shared" si="30"/>
        <v>918.28539033492859</v>
      </c>
      <c r="I165" s="22">
        <f t="shared" si="33"/>
        <v>7.4602044160685431E-3</v>
      </c>
      <c r="L165" s="19">
        <f t="shared" si="31"/>
        <v>12.845360989772722</v>
      </c>
      <c r="M165" s="19">
        <f t="shared" si="32"/>
        <v>9.5829018781897049E-2</v>
      </c>
      <c r="N165" s="19">
        <f t="shared" si="27"/>
        <v>9.6265017801089314E-4</v>
      </c>
      <c r="O165" s="19">
        <f t="shared" si="34"/>
        <v>7.4171957357712592E-2</v>
      </c>
    </row>
    <row r="166" spans="1:15" x14ac:dyDescent="0.25">
      <c r="A166" s="32">
        <v>0.12600007653236389</v>
      </c>
      <c r="B166" s="1">
        <v>300.04613284897579</v>
      </c>
      <c r="C166" s="34">
        <v>1.3367827658875091</v>
      </c>
      <c r="D166">
        <v>164</v>
      </c>
      <c r="E166" s="13">
        <f t="shared" si="26"/>
        <v>81.030830015832976</v>
      </c>
      <c r="F166" s="13">
        <f t="shared" si="28"/>
        <v>918.96916998416702</v>
      </c>
      <c r="G166" s="13">
        <f t="shared" si="29"/>
        <v>0.58604767421286397</v>
      </c>
      <c r="H166" s="5">
        <f t="shared" si="30"/>
        <v>918.38312230995416</v>
      </c>
      <c r="I166" s="22">
        <f t="shared" si="33"/>
        <v>7.1804716230199472E-3</v>
      </c>
      <c r="L166" s="19">
        <f t="shared" si="31"/>
        <v>12.844200422569294</v>
      </c>
      <c r="M166" s="19">
        <f t="shared" si="32"/>
        <v>9.2227416654639627E-2</v>
      </c>
      <c r="N166" s="19">
        <f t="shared" si="27"/>
        <v>9.2648705786924079E-4</v>
      </c>
      <c r="O166" s="19">
        <f t="shared" si="34"/>
        <v>7.1320314533168075E-2</v>
      </c>
    </row>
    <row r="167" spans="1:15" x14ac:dyDescent="0.25">
      <c r="A167" s="32">
        <v>0.12700007855892181</v>
      </c>
      <c r="B167" s="1">
        <v>294.00987977758217</v>
      </c>
      <c r="C167" s="34">
        <v>1.3337255099632255</v>
      </c>
      <c r="D167">
        <v>165</v>
      </c>
      <c r="E167" s="13">
        <f t="shared" si="26"/>
        <v>80.959509701299794</v>
      </c>
      <c r="F167" s="13">
        <f t="shared" si="28"/>
        <v>919.04049029870021</v>
      </c>
      <c r="G167" s="13">
        <f t="shared" si="29"/>
        <v>0.56342784309822491</v>
      </c>
      <c r="H167" s="5">
        <f t="shared" si="30"/>
        <v>918.47706245560198</v>
      </c>
      <c r="I167" s="22">
        <f t="shared" si="33"/>
        <v>6.911279942425747E-3</v>
      </c>
      <c r="L167" s="19">
        <f t="shared" si="31"/>
        <v>12.843084883339726</v>
      </c>
      <c r="M167" s="19">
        <f t="shared" si="32"/>
        <v>8.8762154953097167E-2</v>
      </c>
      <c r="N167" s="19">
        <f t="shared" si="27"/>
        <v>8.9169167484726142E-4</v>
      </c>
      <c r="O167" s="19">
        <f t="shared" si="34"/>
        <v>6.8581374760346855E-2</v>
      </c>
    </row>
    <row r="168" spans="1:15" x14ac:dyDescent="0.25">
      <c r="A168" s="32">
        <v>0.12800008058547974</v>
      </c>
      <c r="B168" s="1">
        <v>288.03628917266661</v>
      </c>
      <c r="C168" s="34">
        <v>1.3306717540531272</v>
      </c>
      <c r="D168">
        <v>166</v>
      </c>
      <c r="E168" s="13">
        <f t="shared" si="26"/>
        <v>80.890928326539438</v>
      </c>
      <c r="F168" s="13">
        <f t="shared" si="28"/>
        <v>919.10907167346056</v>
      </c>
      <c r="G168" s="13">
        <f t="shared" si="29"/>
        <v>0.54170850439402329</v>
      </c>
      <c r="H168" s="5">
        <f t="shared" si="30"/>
        <v>918.56736316906654</v>
      </c>
      <c r="I168" s="22">
        <f t="shared" si="33"/>
        <v>6.6522284611597749E-3</v>
      </c>
      <c r="L168" s="19">
        <f t="shared" si="31"/>
        <v>12.842012562367335</v>
      </c>
      <c r="M168" s="19">
        <f t="shared" si="32"/>
        <v>8.542800146595135E-2</v>
      </c>
      <c r="N168" s="19">
        <f t="shared" si="27"/>
        <v>8.5821163158950053E-4</v>
      </c>
      <c r="O168" s="19">
        <f t="shared" si="34"/>
        <v>6.5950458800913311E-2</v>
      </c>
    </row>
    <row r="169" spans="1:15" x14ac:dyDescent="0.25">
      <c r="A169" s="32">
        <v>0.12900008261203766</v>
      </c>
      <c r="B169" s="1">
        <v>282.1272569866797</v>
      </c>
      <c r="C169" s="34">
        <v>1.3276214981572154</v>
      </c>
      <c r="D169">
        <v>167</v>
      </c>
      <c r="E169" s="13">
        <f t="shared" si="26"/>
        <v>80.824977867738539</v>
      </c>
      <c r="F169" s="13">
        <f t="shared" si="28"/>
        <v>919.17502213226146</v>
      </c>
      <c r="G169" s="13">
        <f t="shared" si="29"/>
        <v>0.52085179720461383</v>
      </c>
      <c r="H169" s="5">
        <f t="shared" si="30"/>
        <v>918.65417033505685</v>
      </c>
      <c r="I169" s="22">
        <f t="shared" si="33"/>
        <v>6.4029317710564875E-3</v>
      </c>
      <c r="L169" s="19">
        <f t="shared" si="31"/>
        <v>12.840981727271201</v>
      </c>
      <c r="M169" s="19">
        <f t="shared" si="32"/>
        <v>8.2219929873100589E-2</v>
      </c>
      <c r="N169" s="19">
        <f t="shared" si="27"/>
        <v>8.2599658592852343E-4</v>
      </c>
      <c r="O169" s="19">
        <f t="shared" si="34"/>
        <v>6.3423097987675467E-2</v>
      </c>
    </row>
    <row r="170" spans="1:15" x14ac:dyDescent="0.25">
      <c r="A170" s="32">
        <v>0.13000008463859558</v>
      </c>
      <c r="B170" s="1">
        <v>276.2845826886109</v>
      </c>
      <c r="C170" s="34">
        <v>1.324574742275489</v>
      </c>
      <c r="D170">
        <v>168</v>
      </c>
      <c r="E170" s="13">
        <f t="shared" si="26"/>
        <v>80.761554769750887</v>
      </c>
      <c r="F170" s="13">
        <f t="shared" si="28"/>
        <v>919.23844523024911</v>
      </c>
      <c r="G170" s="13">
        <f t="shared" si="29"/>
        <v>0.50082159814814986</v>
      </c>
      <c r="H170" s="5">
        <f t="shared" si="30"/>
        <v>918.73762363210096</v>
      </c>
      <c r="I170" s="22">
        <f t="shared" si="33"/>
        <v>6.1630193520403704E-3</v>
      </c>
      <c r="L170" s="19">
        <f t="shared" si="31"/>
        <v>12.839990719368801</v>
      </c>
      <c r="M170" s="19">
        <f t="shared" si="32"/>
        <v>7.9133111283488683E-2</v>
      </c>
      <c r="N170" s="19">
        <f t="shared" si="27"/>
        <v>7.9499816690353775E-4</v>
      </c>
      <c r="O170" s="19">
        <f t="shared" si="34"/>
        <v>6.0995023598320042E-2</v>
      </c>
    </row>
    <row r="171" spans="1:15" x14ac:dyDescent="0.25">
      <c r="A171" s="32">
        <v>0.1310000866651535</v>
      </c>
      <c r="B171" s="1">
        <v>270.50996754417037</v>
      </c>
      <c r="C171" s="34">
        <v>1.3215314864079488</v>
      </c>
      <c r="D171">
        <v>169</v>
      </c>
      <c r="E171" s="13">
        <f t="shared" si="26"/>
        <v>80.700559746152521</v>
      </c>
      <c r="F171" s="13">
        <f t="shared" si="28"/>
        <v>919.29944025384748</v>
      </c>
      <c r="G171" s="13">
        <f t="shared" si="29"/>
        <v>0.48158343136583426</v>
      </c>
      <c r="H171" s="5">
        <f t="shared" si="30"/>
        <v>918.81785682248164</v>
      </c>
      <c r="I171" s="22">
        <f t="shared" si="33"/>
        <v>5.9321349808759225E-3</v>
      </c>
      <c r="L171" s="19">
        <f t="shared" si="31"/>
        <v>12.839037950233031</v>
      </c>
      <c r="M171" s="19">
        <f t="shared" si="32"/>
        <v>7.6162906145370871E-2</v>
      </c>
      <c r="N171" s="19">
        <f t="shared" si="27"/>
        <v>7.651698944384222E-4</v>
      </c>
      <c r="O171" s="19">
        <f t="shared" si="34"/>
        <v>5.8662156842980852E-2</v>
      </c>
    </row>
    <row r="172" spans="1:15" x14ac:dyDescent="0.25">
      <c r="A172" s="32">
        <v>0.13200008869171143</v>
      </c>
      <c r="B172" s="1">
        <v>264.80501321897378</v>
      </c>
      <c r="C172" s="34">
        <v>1.3184917305545945</v>
      </c>
      <c r="D172">
        <v>170</v>
      </c>
      <c r="E172" s="13">
        <f t="shared" si="26"/>
        <v>80.641897589309565</v>
      </c>
      <c r="F172" s="13">
        <f t="shared" si="28"/>
        <v>919.35810241069044</v>
      </c>
      <c r="G172" s="13">
        <f t="shared" si="29"/>
        <v>0.46310438388115927</v>
      </c>
      <c r="H172" s="5">
        <f t="shared" si="30"/>
        <v>918.89499802680928</v>
      </c>
      <c r="I172" s="22">
        <f t="shared" si="33"/>
        <v>5.7099361644086825E-3</v>
      </c>
      <c r="L172" s="19">
        <f t="shared" si="31"/>
        <v>12.838121898431639</v>
      </c>
      <c r="M172" s="19">
        <f t="shared" si="32"/>
        <v>7.3304856510941874E-2</v>
      </c>
      <c r="N172" s="19">
        <f t="shared" si="27"/>
        <v>7.3646710250829805E-4</v>
      </c>
      <c r="O172" s="19">
        <f t="shared" si="34"/>
        <v>5.6420599425451239E-2</v>
      </c>
    </row>
    <row r="173" spans="1:15" x14ac:dyDescent="0.25">
      <c r="A173" s="32">
        <v>0.13300009071826935</v>
      </c>
      <c r="B173" s="1">
        <v>259.17122070175861</v>
      </c>
      <c r="C173" s="34">
        <v>1.3154554747154261</v>
      </c>
      <c r="D173">
        <v>171</v>
      </c>
      <c r="E173" s="13">
        <f t="shared" si="26"/>
        <v>80.585476989884114</v>
      </c>
      <c r="F173" s="13">
        <f t="shared" si="28"/>
        <v>919.41452301011589</v>
      </c>
      <c r="G173" s="13">
        <f t="shared" si="29"/>
        <v>0.44535302594886161</v>
      </c>
      <c r="H173" s="5">
        <f t="shared" si="30"/>
        <v>918.96916998416702</v>
      </c>
      <c r="I173" s="22">
        <f t="shared" si="33"/>
        <v>5.4960935962502433E-3</v>
      </c>
      <c r="L173" s="19">
        <f t="shared" si="31"/>
        <v>12.837241106438018</v>
      </c>
      <c r="M173" s="19">
        <f t="shared" si="32"/>
        <v>7.0554678638614379E-2</v>
      </c>
      <c r="N173" s="19">
        <f t="shared" si="27"/>
        <v>7.0884686562799892E-4</v>
      </c>
      <c r="O173" s="19">
        <f t="shared" si="34"/>
        <v>5.4266624640445758E-2</v>
      </c>
    </row>
    <row r="174" spans="1:15" x14ac:dyDescent="0.25">
      <c r="A174" s="32">
        <v>0.13400009274482727</v>
      </c>
      <c r="B174" s="1">
        <v>253.60998954404366</v>
      </c>
      <c r="C174" s="34">
        <v>1.3124227188904436</v>
      </c>
      <c r="D174">
        <v>172</v>
      </c>
      <c r="E174" s="13">
        <f t="shared" si="26"/>
        <v>80.531210365243624</v>
      </c>
      <c r="F174" s="13">
        <f t="shared" si="28"/>
        <v>919.46878963475638</v>
      </c>
      <c r="G174" s="13">
        <f t="shared" si="29"/>
        <v>0.42829933605617043</v>
      </c>
      <c r="H174" s="5">
        <f t="shared" si="30"/>
        <v>919.04049029870021</v>
      </c>
      <c r="I174" s="22">
        <f t="shared" si="33"/>
        <v>5.2902906358546558E-3</v>
      </c>
      <c r="L174" s="19">
        <f t="shared" si="31"/>
        <v>12.836394177702935</v>
      </c>
      <c r="M174" s="19">
        <f t="shared" si="32"/>
        <v>6.7908255916441063E-2</v>
      </c>
      <c r="N174" s="19">
        <f t="shared" si="27"/>
        <v>6.8226792850556439E-4</v>
      </c>
      <c r="O174" s="19">
        <f t="shared" si="34"/>
        <v>5.2196668972143569E-2</v>
      </c>
    </row>
    <row r="175" spans="1:15" x14ac:dyDescent="0.25">
      <c r="A175" s="32">
        <v>0.13500009477138519</v>
      </c>
      <c r="B175" s="1">
        <v>248.12261740914721</v>
      </c>
      <c r="C175" s="34">
        <v>1.3093934630796473</v>
      </c>
      <c r="D175">
        <v>173</v>
      </c>
      <c r="E175" s="13">
        <f t="shared" si="26"/>
        <v>80.479013696271522</v>
      </c>
      <c r="F175" s="13">
        <f t="shared" si="28"/>
        <v>919.52098630372848</v>
      </c>
      <c r="G175" s="13">
        <f t="shared" si="29"/>
        <v>0.41191463026791553</v>
      </c>
      <c r="H175" s="5">
        <f t="shared" si="30"/>
        <v>919.10907167346056</v>
      </c>
      <c r="I175" s="22">
        <f t="shared" si="33"/>
        <v>5.0922228090287697E-3</v>
      </c>
      <c r="L175" s="19">
        <f t="shared" si="31"/>
        <v>12.835579773877654</v>
      </c>
      <c r="M175" s="19">
        <f t="shared" si="32"/>
        <v>6.5361632091648136E-2</v>
      </c>
      <c r="N175" s="19">
        <f t="shared" si="27"/>
        <v>6.5669063871243161E-4</v>
      </c>
      <c r="O175" s="19">
        <f t="shared" si="34"/>
        <v>5.0207324161793521E-2</v>
      </c>
    </row>
    <row r="176" spans="1:15" x14ac:dyDescent="0.25">
      <c r="A176" s="32">
        <v>0.13600009679794312</v>
      </c>
      <c r="B176" s="1">
        <v>242.71029992422029</v>
      </c>
      <c r="C176" s="34">
        <v>1.3063677072830364</v>
      </c>
      <c r="D176">
        <v>174</v>
      </c>
      <c r="E176" s="13">
        <f t="shared" si="26"/>
        <v>80.428806372109761</v>
      </c>
      <c r="F176" s="13">
        <f t="shared" si="28"/>
        <v>919.57119362789024</v>
      </c>
      <c r="G176" s="13">
        <f t="shared" si="29"/>
        <v>0.39617149562877785</v>
      </c>
      <c r="H176" s="5">
        <f t="shared" si="30"/>
        <v>919.17502213226146</v>
      </c>
      <c r="I176" s="22">
        <f t="shared" si="33"/>
        <v>4.9015973289478687E-3</v>
      </c>
      <c r="L176" s="19">
        <f t="shared" si="31"/>
        <v>12.834796612179396</v>
      </c>
      <c r="M176" s="19">
        <f t="shared" si="32"/>
        <v>6.2911004791847677E-2</v>
      </c>
      <c r="N176" s="19">
        <f t="shared" si="27"/>
        <v>6.3207688223076985E-4</v>
      </c>
      <c r="O176" s="19">
        <f t="shared" si="34"/>
        <v>4.8295329714564142E-2</v>
      </c>
    </row>
    <row r="177" spans="1:15" x14ac:dyDescent="0.25">
      <c r="A177" s="32">
        <v>0.13700009882450104</v>
      </c>
      <c r="B177" s="1">
        <v>237.37413082570006</v>
      </c>
      <c r="C177" s="34">
        <v>1.303345451500612</v>
      </c>
      <c r="D177">
        <v>175</v>
      </c>
      <c r="E177" s="13">
        <f t="shared" si="26"/>
        <v>80.380511042395142</v>
      </c>
      <c r="F177" s="13">
        <f t="shared" si="28"/>
        <v>919.61948895760486</v>
      </c>
      <c r="G177" s="13">
        <f t="shared" si="29"/>
        <v>0.38104372735574543</v>
      </c>
      <c r="H177" s="5">
        <f t="shared" si="30"/>
        <v>919.23844523024911</v>
      </c>
      <c r="I177" s="22">
        <f t="shared" si="33"/>
        <v>4.7181326367736641E-3</v>
      </c>
      <c r="L177" s="19">
        <f t="shared" si="31"/>
        <v>12.834043462890792</v>
      </c>
      <c r="M177" s="19">
        <f t="shared" si="32"/>
        <v>6.055271932403674E-2</v>
      </c>
      <c r="N177" s="19">
        <f t="shared" si="27"/>
        <v>6.0839002174295498E-4</v>
      </c>
      <c r="O177" s="19">
        <f t="shared" si="34"/>
        <v>4.6457565817752983E-2</v>
      </c>
    </row>
    <row r="178" spans="1:15" x14ac:dyDescent="0.25">
      <c r="A178" s="32">
        <v>0.13800010085105896</v>
      </c>
      <c r="B178" s="1">
        <v>232.11510238848032</v>
      </c>
      <c r="C178" s="34">
        <v>1.3003266957323729</v>
      </c>
      <c r="D178">
        <v>176</v>
      </c>
      <c r="E178" s="13">
        <f t="shared" si="26"/>
        <v>80.334053476577424</v>
      </c>
      <c r="F178" s="13">
        <f t="shared" si="28"/>
        <v>919.66594652342258</v>
      </c>
      <c r="G178" s="13">
        <f t="shared" si="29"/>
        <v>0.36650626957509758</v>
      </c>
      <c r="H178" s="5">
        <f t="shared" si="30"/>
        <v>919.29944025384748</v>
      </c>
      <c r="I178" s="22">
        <f t="shared" si="33"/>
        <v>4.5415579610347265E-3</v>
      </c>
      <c r="L178" s="19">
        <f t="shared" si="31"/>
        <v>12.833319146985561</v>
      </c>
      <c r="M178" s="19">
        <f t="shared" si="32"/>
        <v>5.8283262738491659E-2</v>
      </c>
      <c r="N178" s="19">
        <f t="shared" si="27"/>
        <v>5.8559483753573005E-4</v>
      </c>
      <c r="O178" s="19">
        <f t="shared" si="34"/>
        <v>4.4691046644492853E-2</v>
      </c>
    </row>
    <row r="179" spans="1:15" x14ac:dyDescent="0.25">
      <c r="A179" s="32">
        <v>0.13900010287761688</v>
      </c>
      <c r="B179" s="1">
        <v>226.93410612797305</v>
      </c>
      <c r="C179" s="34">
        <v>1.2973114399783201</v>
      </c>
      <c r="D179">
        <v>177</v>
      </c>
      <c r="E179" s="13">
        <f t="shared" si="26"/>
        <v>80.289362429932908</v>
      </c>
      <c r="F179" s="13">
        <f t="shared" si="28"/>
        <v>919.71063757006709</v>
      </c>
      <c r="G179" s="13">
        <f t="shared" si="29"/>
        <v>0.35253515937665725</v>
      </c>
      <c r="H179" s="5">
        <f t="shared" si="30"/>
        <v>919.35810241069044</v>
      </c>
      <c r="I179" s="22">
        <f t="shared" si="33"/>
        <v>4.3716128949747293E-3</v>
      </c>
      <c r="L179" s="19">
        <f t="shared" si="31"/>
        <v>12.83262253387305</v>
      </c>
      <c r="M179" s="19">
        <f t="shared" si="32"/>
        <v>5.6099258145422708E-2</v>
      </c>
      <c r="N179" s="19">
        <f t="shared" si="27"/>
        <v>5.63657470903145E-4</v>
      </c>
      <c r="O179" s="19">
        <f t="shared" si="34"/>
        <v>4.2992914019297869E-2</v>
      </c>
    </row>
    <row r="180" spans="1:15" x14ac:dyDescent="0.25">
      <c r="A180" s="32">
        <v>0.1400001049041748</v>
      </c>
      <c r="B180" s="1">
        <v>221.83193376185659</v>
      </c>
      <c r="C180" s="34">
        <v>1.2942996842384531</v>
      </c>
      <c r="D180">
        <v>178</v>
      </c>
      <c r="E180" s="13">
        <f t="shared" si="26"/>
        <v>80.246369515913557</v>
      </c>
      <c r="F180" s="13">
        <f t="shared" si="28"/>
        <v>919.75363048408644</v>
      </c>
      <c r="G180" s="13">
        <f t="shared" si="29"/>
        <v>0.33910747397055729</v>
      </c>
      <c r="H180" s="5">
        <f t="shared" si="30"/>
        <v>919.41452301011589</v>
      </c>
      <c r="I180" s="22">
        <f t="shared" si="33"/>
        <v>4.2080469910617448E-3</v>
      </c>
      <c r="L180" s="19">
        <f t="shared" si="31"/>
        <v>12.831952539254875</v>
      </c>
      <c r="M180" s="19">
        <f t="shared" si="32"/>
        <v>5.3997459272258595E-2</v>
      </c>
      <c r="N180" s="19">
        <f t="shared" si="27"/>
        <v>5.425453699273719E-4</v>
      </c>
      <c r="O180" s="19">
        <f t="shared" si="34"/>
        <v>4.1360431422622905E-2</v>
      </c>
    </row>
    <row r="181" spans="1:15" x14ac:dyDescent="0.25">
      <c r="A181" s="32">
        <v>0.14100010693073273</v>
      </c>
      <c r="B181" s="1">
        <v>216.80927841974176</v>
      </c>
      <c r="C181" s="34">
        <v>1.2912914285127721</v>
      </c>
      <c r="D181">
        <v>179</v>
      </c>
      <c r="E181" s="13">
        <f t="shared" si="26"/>
        <v>80.205009084490939</v>
      </c>
      <c r="F181" s="13">
        <f t="shared" si="28"/>
        <v>919.79499091550906</v>
      </c>
      <c r="G181" s="13">
        <f t="shared" si="29"/>
        <v>0.3262012807526844</v>
      </c>
      <c r="H181" s="5">
        <f t="shared" si="30"/>
        <v>919.46878963475638</v>
      </c>
      <c r="I181" s="22">
        <f t="shared" si="33"/>
        <v>4.0506193719580461E-3</v>
      </c>
      <c r="L181" s="19">
        <f t="shared" si="31"/>
        <v>12.831308123087268</v>
      </c>
      <c r="M181" s="19">
        <f t="shared" si="32"/>
        <v>5.1974745250939924E-2</v>
      </c>
      <c r="N181" s="19">
        <f t="shared" si="27"/>
        <v>5.2222723753558853E-4</v>
      </c>
      <c r="O181" s="19">
        <f t="shared" si="34"/>
        <v>3.9790978314174962E-2</v>
      </c>
    </row>
    <row r="182" spans="1:15" x14ac:dyDescent="0.25">
      <c r="A182" s="32">
        <v>0.14200010895729065</v>
      </c>
      <c r="B182" s="1">
        <v>211.86673608589942</v>
      </c>
      <c r="C182" s="34">
        <v>1.288286672801277</v>
      </c>
      <c r="D182">
        <v>180</v>
      </c>
      <c r="E182" s="13">
        <f t="shared" si="26"/>
        <v>80.165218106176781</v>
      </c>
      <c r="F182" s="13">
        <f t="shared" si="28"/>
        <v>919.83478189382322</v>
      </c>
      <c r="G182" s="13">
        <f t="shared" si="29"/>
        <v>0.31379559009474178</v>
      </c>
      <c r="H182" s="5">
        <f t="shared" si="30"/>
        <v>919.52098630372848</v>
      </c>
      <c r="I182" s="22">
        <f t="shared" si="33"/>
        <v>3.8990983572314763E-3</v>
      </c>
      <c r="L182" s="19">
        <f t="shared" si="31"/>
        <v>12.830688287643225</v>
      </c>
      <c r="M182" s="19">
        <f t="shared" si="32"/>
        <v>5.002811562449884E-2</v>
      </c>
      <c r="N182" s="19">
        <f t="shared" si="27"/>
        <v>5.0267298172623764E-4</v>
      </c>
      <c r="O182" s="19">
        <f t="shared" si="34"/>
        <v>3.828204475535775E-2</v>
      </c>
    </row>
    <row r="183" spans="1:15" x14ac:dyDescent="0.25">
      <c r="A183" s="32">
        <v>0.14300011098384857</v>
      </c>
      <c r="B183" s="1">
        <v>207.00480726128399</v>
      </c>
      <c r="C183" s="34">
        <v>1.285285417103968</v>
      </c>
      <c r="D183">
        <v>181</v>
      </c>
      <c r="E183" s="13">
        <f t="shared" si="26"/>
        <v>80.126936061421475</v>
      </c>
      <c r="F183" s="13">
        <f t="shared" si="28"/>
        <v>919.87306393857853</v>
      </c>
      <c r="G183" s="13">
        <f t="shared" si="29"/>
        <v>0.30187031068828674</v>
      </c>
      <c r="H183" s="5">
        <f t="shared" si="30"/>
        <v>919.57119362789024</v>
      </c>
      <c r="I183" s="22">
        <f t="shared" si="33"/>
        <v>3.7532611051277033E-3</v>
      </c>
      <c r="L183" s="19">
        <f t="shared" si="31"/>
        <v>12.830092075668805</v>
      </c>
      <c r="M183" s="19">
        <f t="shared" si="32"/>
        <v>4.8154685562814888E-2</v>
      </c>
      <c r="N183" s="19">
        <f t="shared" si="27"/>
        <v>4.8385366786740658E-4</v>
      </c>
      <c r="O183" s="19">
        <f t="shared" si="34"/>
        <v>3.6831226312881146E-2</v>
      </c>
    </row>
    <row r="184" spans="1:15" x14ac:dyDescent="0.25">
      <c r="A184" s="32">
        <v>0.14400011301040649</v>
      </c>
      <c r="B184" s="1">
        <v>202.22389882975716</v>
      </c>
      <c r="C184" s="34">
        <v>1.2822876614208445</v>
      </c>
      <c r="D184">
        <v>182</v>
      </c>
      <c r="E184" s="13">
        <f t="shared" si="26"/>
        <v>80.090104835108605</v>
      </c>
      <c r="F184" s="13">
        <f t="shared" si="28"/>
        <v>919.9098951648914</v>
      </c>
      <c r="G184" s="13">
        <f t="shared" si="29"/>
        <v>0.29040620728653721</v>
      </c>
      <c r="H184" s="5">
        <f t="shared" si="30"/>
        <v>919.61948895760486</v>
      </c>
      <c r="I184" s="22">
        <f t="shared" si="33"/>
        <v>3.6128932687846198E-3</v>
      </c>
      <c r="L184" s="19">
        <f t="shared" si="31"/>
        <v>12.829518568628442</v>
      </c>
      <c r="M184" s="19">
        <f t="shared" si="32"/>
        <v>4.6351681278344992E-2</v>
      </c>
      <c r="N184" s="19">
        <f t="shared" si="27"/>
        <v>4.6574147297473445E-4</v>
      </c>
      <c r="O184" s="19">
        <f t="shared" si="34"/>
        <v>3.543621922677416E-2</v>
      </c>
    </row>
    <row r="185" spans="1:15" x14ac:dyDescent="0.25">
      <c r="A185" s="32">
        <v>0.14500011503696442</v>
      </c>
      <c r="B185" s="1">
        <v>197.52432611270439</v>
      </c>
      <c r="C185" s="34">
        <v>1.2792934057519074</v>
      </c>
      <c r="D185">
        <v>183</v>
      </c>
      <c r="E185" s="13">
        <f t="shared" si="26"/>
        <v>80.054668615881837</v>
      </c>
      <c r="F185" s="13">
        <f t="shared" si="28"/>
        <v>919.94533138411816</v>
      </c>
      <c r="G185" s="13">
        <f t="shared" si="29"/>
        <v>0.27938486069558621</v>
      </c>
      <c r="H185" s="5">
        <f t="shared" si="30"/>
        <v>919.66594652342258</v>
      </c>
      <c r="I185" s="22">
        <f t="shared" si="33"/>
        <v>3.4777886662602552E-3</v>
      </c>
      <c r="L185" s="19">
        <f t="shared" si="31"/>
        <v>12.828966885034358</v>
      </c>
      <c r="M185" s="19">
        <f t="shared" si="32"/>
        <v>4.4616435632600621E-2</v>
      </c>
      <c r="N185" s="19">
        <f t="shared" si="27"/>
        <v>4.4830964188213862E-4</v>
      </c>
      <c r="O185" s="19">
        <f t="shared" si="34"/>
        <v>3.4094815827270301E-2</v>
      </c>
    </row>
    <row r="186" spans="1:15" x14ac:dyDescent="0.25">
      <c r="A186" s="32">
        <v>0.14600011706352234</v>
      </c>
      <c r="B186" s="1">
        <v>192.90631509796967</v>
      </c>
      <c r="C186" s="34">
        <v>1.2763026500971557</v>
      </c>
      <c r="D186">
        <v>184</v>
      </c>
      <c r="E186" s="13">
        <f t="shared" si="26"/>
        <v>80.020573800054535</v>
      </c>
      <c r="F186" s="13">
        <f t="shared" si="28"/>
        <v>919.97942619994546</v>
      </c>
      <c r="G186" s="13">
        <f t="shared" si="29"/>
        <v>0.26878862987837238</v>
      </c>
      <c r="H186" s="5">
        <f t="shared" si="30"/>
        <v>919.71063757006709</v>
      </c>
      <c r="I186" s="22">
        <f t="shared" si="33"/>
        <v>3.3477489637925499E-3</v>
      </c>
      <c r="L186" s="19">
        <f t="shared" si="31"/>
        <v>12.828436178855451</v>
      </c>
      <c r="M186" s="19">
        <f t="shared" si="32"/>
        <v>4.2946383924842194E-2</v>
      </c>
      <c r="N186" s="19">
        <f t="shared" si="27"/>
        <v>4.3153244521709766E-4</v>
      </c>
      <c r="O186" s="19">
        <f t="shared" si="34"/>
        <v>3.2804900185632119E-2</v>
      </c>
    </row>
    <row r="187" spans="1:15" x14ac:dyDescent="0.25">
      <c r="A187" s="32">
        <v>0.14700011909008026</v>
      </c>
      <c r="B187" s="1">
        <v>188.37000482528359</v>
      </c>
      <c r="C187" s="34">
        <v>1.2733153944565903</v>
      </c>
      <c r="D187">
        <v>185</v>
      </c>
      <c r="E187" s="13">
        <f t="shared" si="26"/>
        <v>79.987768899868911</v>
      </c>
      <c r="F187" s="13">
        <f t="shared" si="28"/>
        <v>920.01223110013109</v>
      </c>
      <c r="G187" s="13">
        <f t="shared" si="29"/>
        <v>0.2586006160446459</v>
      </c>
      <c r="H187" s="5">
        <f t="shared" si="30"/>
        <v>919.75363048408644</v>
      </c>
      <c r="I187" s="22">
        <f t="shared" si="33"/>
        <v>3.2225833717419842E-3</v>
      </c>
      <c r="L187" s="19">
        <f t="shared" si="31"/>
        <v>12.827925638001474</v>
      </c>
      <c r="M187" s="19">
        <f t="shared" si="32"/>
        <v>4.1339059854966234E-2</v>
      </c>
      <c r="N187" s="19">
        <f t="shared" si="27"/>
        <v>4.1538513910521768E-4</v>
      </c>
      <c r="O187" s="19">
        <f t="shared" si="34"/>
        <v>3.1564443985628653E-2</v>
      </c>
    </row>
    <row r="188" spans="1:15" x14ac:dyDescent="0.25">
      <c r="A188" s="32">
        <v>0.14800012111663818</v>
      </c>
      <c r="B188" s="1">
        <v>183.91544991455572</v>
      </c>
      <c r="C188" s="34">
        <v>1.2703316388302106</v>
      </c>
      <c r="D188">
        <v>186</v>
      </c>
      <c r="E188" s="13">
        <f t="shared" si="26"/>
        <v>79.956204455883267</v>
      </c>
      <c r="F188" s="13">
        <f t="shared" si="28"/>
        <v>920.04379554411673</v>
      </c>
      <c r="G188" s="13">
        <f t="shared" si="29"/>
        <v>0.24880462860767238</v>
      </c>
      <c r="H188" s="5">
        <f t="shared" si="30"/>
        <v>919.79499091550906</v>
      </c>
      <c r="I188" s="22">
        <f t="shared" si="33"/>
        <v>3.1021083526787253E-3</v>
      </c>
      <c r="L188" s="19">
        <f t="shared" si="31"/>
        <v>12.827434482878328</v>
      </c>
      <c r="M188" s="19">
        <f t="shared" si="32"/>
        <v>3.9792091652775967E-2</v>
      </c>
      <c r="N188" s="19">
        <f t="shared" si="27"/>
        <v>3.9984392652614442E-4</v>
      </c>
      <c r="O188" s="19">
        <f t="shared" si="34"/>
        <v>3.0371502602779189E-2</v>
      </c>
    </row>
    <row r="189" spans="1:15" x14ac:dyDescent="0.25">
      <c r="A189" s="32">
        <v>0.14900012314319611</v>
      </c>
      <c r="B189" s="1">
        <v>179.54262321995878</v>
      </c>
      <c r="C189" s="34">
        <v>1.267351383218017</v>
      </c>
      <c r="D189">
        <v>187</v>
      </c>
      <c r="E189" s="13">
        <f t="shared" si="26"/>
        <v>79.925832953280519</v>
      </c>
      <c r="F189" s="13">
        <f t="shared" si="28"/>
        <v>920.07416704671948</v>
      </c>
      <c r="G189" s="13">
        <f t="shared" si="29"/>
        <v>0.23938515289626139</v>
      </c>
      <c r="H189" s="5">
        <f t="shared" si="30"/>
        <v>919.83478189382322</v>
      </c>
      <c r="I189" s="22">
        <f t="shared" si="33"/>
        <v>2.9861473410975055E-3</v>
      </c>
      <c r="L189" s="19">
        <f t="shared" si="31"/>
        <v>12.826961965010849</v>
      </c>
      <c r="M189" s="19">
        <f t="shared" si="32"/>
        <v>3.8303198366175982E-2</v>
      </c>
      <c r="N189" s="19">
        <f t="shared" si="27"/>
        <v>3.8488592024676915E-4</v>
      </c>
      <c r="O189" s="19">
        <f t="shared" si="34"/>
        <v>2.9224211379327274E-2</v>
      </c>
    </row>
    <row r="190" spans="1:15" x14ac:dyDescent="0.25">
      <c r="A190" s="32">
        <v>0.15000012516975403</v>
      </c>
      <c r="B190" s="1">
        <v>175.25141859517237</v>
      </c>
      <c r="C190" s="34">
        <v>1.2643746276200092</v>
      </c>
      <c r="D190">
        <v>188</v>
      </c>
      <c r="E190" s="13">
        <f t="shared" si="26"/>
        <v>79.896608741901218</v>
      </c>
      <c r="F190" s="13">
        <f t="shared" si="28"/>
        <v>920.10339125809878</v>
      </c>
      <c r="G190" s="13">
        <f t="shared" si="29"/>
        <v>0.23032731952025642</v>
      </c>
      <c r="H190" s="5">
        <f t="shared" si="30"/>
        <v>919.87306393857853</v>
      </c>
      <c r="I190" s="22">
        <f t="shared" si="33"/>
        <v>2.8745304742926713E-3</v>
      </c>
      <c r="L190" s="19">
        <f t="shared" si="31"/>
        <v>12.826507365729382</v>
      </c>
      <c r="M190" s="19">
        <f t="shared" si="32"/>
        <v>3.6870186301528524E-2</v>
      </c>
      <c r="N190" s="19">
        <f t="shared" si="27"/>
        <v>3.7048910726611428E-4</v>
      </c>
      <c r="O190" s="19">
        <f t="shared" si="34"/>
        <v>2.8120782084058153E-2</v>
      </c>
    </row>
    <row r="191" spans="1:15" x14ac:dyDescent="0.25">
      <c r="A191" s="32">
        <v>0.15100012719631195</v>
      </c>
      <c r="B191" s="1">
        <v>171.04165375402198</v>
      </c>
      <c r="C191" s="34">
        <v>1.2614013720361876</v>
      </c>
      <c r="D191">
        <v>189</v>
      </c>
      <c r="E191" s="13">
        <f t="shared" si="26"/>
        <v>79.868487959817116</v>
      </c>
      <c r="F191" s="13">
        <f t="shared" si="28"/>
        <v>920.13151204018288</v>
      </c>
      <c r="G191" s="13">
        <f t="shared" si="29"/>
        <v>0.22161687529148821</v>
      </c>
      <c r="H191" s="5">
        <f t="shared" si="30"/>
        <v>919.9098951648914</v>
      </c>
      <c r="I191" s="22">
        <f t="shared" si="33"/>
        <v>2.7670943339100163E-3</v>
      </c>
      <c r="L191" s="19">
        <f t="shared" si="31"/>
        <v>12.826069994916914</v>
      </c>
      <c r="M191" s="19">
        <f t="shared" si="32"/>
        <v>3.5490945609267861E-2</v>
      </c>
      <c r="N191" s="19">
        <f t="shared" si="27"/>
        <v>3.5663231470384193E-4</v>
      </c>
      <c r="O191" s="19">
        <f t="shared" si="34"/>
        <v>2.7059499546355229E-2</v>
      </c>
    </row>
    <row r="192" spans="1:15" x14ac:dyDescent="0.25">
      <c r="A192" s="32">
        <v>0.15200012922286987</v>
      </c>
      <c r="B192" s="1">
        <v>166.91307321206159</v>
      </c>
      <c r="C192" s="34">
        <v>1.2584316164665514</v>
      </c>
      <c r="D192">
        <v>190</v>
      </c>
      <c r="E192" s="13">
        <f t="shared" si="26"/>
        <v>79.841428460270777</v>
      </c>
      <c r="F192" s="13">
        <f t="shared" si="28"/>
        <v>920.15857153972922</v>
      </c>
      <c r="G192" s="13">
        <f t="shared" si="29"/>
        <v>0.2132401556110608</v>
      </c>
      <c r="H192" s="5">
        <f t="shared" si="30"/>
        <v>919.94533138411816</v>
      </c>
      <c r="I192" s="22">
        <f t="shared" si="33"/>
        <v>2.663681697743692E-3</v>
      </c>
      <c r="L192" s="19">
        <f t="shared" si="31"/>
        <v>12.825649189813596</v>
      </c>
      <c r="M192" s="19">
        <f t="shared" si="32"/>
        <v>3.4163447008587686E-2</v>
      </c>
      <c r="N192" s="19">
        <f t="shared" si="27"/>
        <v>3.432951770708792E-4</v>
      </c>
      <c r="O192" s="19">
        <f t="shared" si="34"/>
        <v>2.6038718454817561E-2</v>
      </c>
    </row>
    <row r="193" spans="1:15" x14ac:dyDescent="0.25">
      <c r="A193" s="32">
        <v>0.1530001312494278</v>
      </c>
      <c r="B193" s="1">
        <v>162.8653512943508</v>
      </c>
      <c r="C193" s="34">
        <v>1.2554653609111017</v>
      </c>
      <c r="D193">
        <v>191</v>
      </c>
      <c r="E193" s="13">
        <f t="shared" si="26"/>
        <v>79.81538974181592</v>
      </c>
      <c r="F193" s="13">
        <f t="shared" si="28"/>
        <v>920.18461025818408</v>
      </c>
      <c r="G193" s="13">
        <f t="shared" si="29"/>
        <v>0.20518405823861485</v>
      </c>
      <c r="H193" s="5">
        <f t="shared" si="30"/>
        <v>919.97942619994546</v>
      </c>
      <c r="I193" s="22">
        <f t="shared" si="33"/>
        <v>2.5641413013521158E-3</v>
      </c>
      <c r="L193" s="19">
        <f t="shared" si="31"/>
        <v>12.825244313875649</v>
      </c>
      <c r="M193" s="19">
        <f t="shared" si="32"/>
        <v>3.2885738645139932E-2</v>
      </c>
      <c r="N193" s="19">
        <f t="shared" si="27"/>
        <v>3.3045810486265204E-4</v>
      </c>
      <c r="O193" s="19">
        <f t="shared" si="34"/>
        <v>2.5056860311306724E-2</v>
      </c>
    </row>
    <row r="194" spans="1:15" x14ac:dyDescent="0.25">
      <c r="A194" s="32">
        <v>0.15400013327598572</v>
      </c>
      <c r="B194" s="1">
        <v>158.89809519552728</v>
      </c>
      <c r="C194" s="34">
        <v>1.2525026053698374</v>
      </c>
      <c r="D194">
        <v>192</v>
      </c>
      <c r="E194" s="13">
        <f t="shared" ref="E194:E257" si="35">$B$3-F194</f>
        <v>79.790332881504582</v>
      </c>
      <c r="F194" s="13">
        <f t="shared" si="28"/>
        <v>920.20966711849542</v>
      </c>
      <c r="G194" s="13">
        <f t="shared" si="29"/>
        <v>0.19743601836432845</v>
      </c>
      <c r="H194" s="5">
        <f t="shared" si="30"/>
        <v>920.01223110013109</v>
      </c>
      <c r="I194" s="22">
        <f t="shared" si="33"/>
        <v>2.4683276090808931E-3</v>
      </c>
      <c r="L194" s="19">
        <f t="shared" si="31"/>
        <v>12.824854755685944</v>
      </c>
      <c r="M194" s="19">
        <f t="shared" si="32"/>
        <v>3.1655943075912012E-2</v>
      </c>
      <c r="N194" s="19">
        <f t="shared" ref="N194:N257" si="36">1-(1-$B$7)^M194</f>
        <v>3.1810225441808448E-4</v>
      </c>
      <c r="O194" s="19">
        <f t="shared" si="34"/>
        <v>2.4112410531857219E-2</v>
      </c>
    </row>
    <row r="195" spans="1:15" x14ac:dyDescent="0.25">
      <c r="A195" s="32">
        <v>0.15500013530254364</v>
      </c>
      <c r="B195" s="1">
        <v>155.01084807879303</v>
      </c>
      <c r="C195" s="34">
        <v>1.2495433498427593</v>
      </c>
      <c r="D195">
        <v>193</v>
      </c>
      <c r="E195" s="13">
        <f t="shared" si="35"/>
        <v>79.766220470972712</v>
      </c>
      <c r="F195" s="13">
        <f t="shared" ref="F195:F258" si="37">F194+O194</f>
        <v>920.23377952902729</v>
      </c>
      <c r="G195" s="13">
        <f t="shared" ref="G195:G258" si="38">F195-H195</f>
        <v>0.18998398491055468</v>
      </c>
      <c r="H195" s="5">
        <f t="shared" ref="H195:H258" si="39">H194+O187</f>
        <v>920.04379554411673</v>
      </c>
      <c r="I195" s="22">
        <f t="shared" si="33"/>
        <v>2.3761005941118738E-3</v>
      </c>
      <c r="L195" s="19">
        <f t="shared" ref="L195:L258" si="40">$B$5*(1-B$2)*((1-H195/$B$3)*(1-$B$6)+$B$6)</f>
        <v>12.824479927913613</v>
      </c>
      <c r="M195" s="19">
        <f t="shared" ref="M195:M258" si="41">I195*L195</f>
        <v>3.0472254375891336E-2</v>
      </c>
      <c r="N195" s="19">
        <f t="shared" si="36"/>
        <v>3.0620949898974015E-4</v>
      </c>
      <c r="O195" s="19">
        <f t="shared" si="34"/>
        <v>2.3203915686385624E-2</v>
      </c>
    </row>
    <row r="196" spans="1:15" x14ac:dyDescent="0.25">
      <c r="A196" s="32">
        <v>0.15600013732910156</v>
      </c>
      <c r="B196" s="1">
        <v>151.20309220075461</v>
      </c>
      <c r="C196" s="34">
        <v>1.246587594329867</v>
      </c>
      <c r="D196">
        <v>194</v>
      </c>
      <c r="E196" s="13">
        <f t="shared" si="35"/>
        <v>79.743016555286317</v>
      </c>
      <c r="F196" s="13">
        <f t="shared" si="37"/>
        <v>920.25698344471368</v>
      </c>
      <c r="G196" s="13">
        <f t="shared" si="38"/>
        <v>0.18281639799420191</v>
      </c>
      <c r="H196" s="5">
        <f t="shared" si="39"/>
        <v>920.07416704671948</v>
      </c>
      <c r="I196" s="22">
        <f t="shared" ref="I196:I259" si="42">G196/(E196+G196)</f>
        <v>2.2873255271679753E-3</v>
      </c>
      <c r="L196" s="19">
        <f t="shared" si="40"/>
        <v>12.824119266320205</v>
      </c>
      <c r="M196" s="19">
        <f t="shared" si="41"/>
        <v>2.9332935361300851E-2</v>
      </c>
      <c r="N196" s="19">
        <f t="shared" si="36"/>
        <v>2.947624009749239E-4</v>
      </c>
      <c r="O196" s="19">
        <f t="shared" ref="O196:O259" si="43">E196*(1-B$2)*N196</f>
        <v>2.2329980869778332E-2</v>
      </c>
    </row>
    <row r="197" spans="1:15" x14ac:dyDescent="0.25">
      <c r="A197" s="32">
        <v>0.15700013935565948</v>
      </c>
      <c r="B197" s="1">
        <v>147.47425204986817</v>
      </c>
      <c r="C197" s="34">
        <v>1.2436353388311607</v>
      </c>
      <c r="D197">
        <v>195</v>
      </c>
      <c r="E197" s="13">
        <f t="shared" si="35"/>
        <v>79.720686574416504</v>
      </c>
      <c r="F197" s="13">
        <f t="shared" si="37"/>
        <v>920.2793134255835</v>
      </c>
      <c r="G197" s="13">
        <f t="shared" si="38"/>
        <v>0.17592216748471401</v>
      </c>
      <c r="H197" s="5">
        <f t="shared" si="39"/>
        <v>920.10339125809878</v>
      </c>
      <c r="I197" s="22">
        <f t="shared" si="42"/>
        <v>2.2018727735117604E-3</v>
      </c>
      <c r="L197" s="19">
        <f t="shared" si="40"/>
        <v>12.823772228810075</v>
      </c>
      <c r="M197" s="19">
        <f t="shared" si="41"/>
        <v>2.8236314924333129E-2</v>
      </c>
      <c r="N197" s="19">
        <f t="shared" si="36"/>
        <v>2.8374418525700662E-4</v>
      </c>
      <c r="O197" s="19">
        <f t="shared" si="43"/>
        <v>2.1489267197177645E-2</v>
      </c>
    </row>
    <row r="198" spans="1:15" x14ac:dyDescent="0.25">
      <c r="A198" s="32">
        <v>0.15800014138221741</v>
      </c>
      <c r="B198" s="1">
        <v>143.82369748717363</v>
      </c>
      <c r="C198" s="34">
        <v>1.2406865833466403</v>
      </c>
      <c r="D198">
        <v>196</v>
      </c>
      <c r="E198" s="13">
        <f t="shared" si="35"/>
        <v>79.699197307219379</v>
      </c>
      <c r="F198" s="13">
        <f t="shared" si="37"/>
        <v>920.30080269278062</v>
      </c>
      <c r="G198" s="13">
        <f t="shared" si="38"/>
        <v>0.16929065259773779</v>
      </c>
      <c r="H198" s="5">
        <f t="shared" si="39"/>
        <v>920.13151204018288</v>
      </c>
      <c r="I198" s="22">
        <f t="shared" si="42"/>
        <v>2.1196175979055739E-3</v>
      </c>
      <c r="L198" s="19">
        <f t="shared" si="40"/>
        <v>12.82343829452283</v>
      </c>
      <c r="M198" s="19">
        <f t="shared" si="41"/>
        <v>2.718078547472683E-2</v>
      </c>
      <c r="N198" s="19">
        <f t="shared" si="36"/>
        <v>2.7313871361067665E-4</v>
      </c>
      <c r="O198" s="19">
        <f t="shared" si="43"/>
        <v>2.0680489416882532E-2</v>
      </c>
    </row>
    <row r="199" spans="1:15" x14ac:dyDescent="0.25">
      <c r="A199" s="32">
        <v>0.15900014340877533</v>
      </c>
      <c r="B199" s="1">
        <v>140.25074687786261</v>
      </c>
      <c r="C199" s="34">
        <v>1.2377413278763061</v>
      </c>
      <c r="D199">
        <v>197</v>
      </c>
      <c r="E199" s="13">
        <f t="shared" si="35"/>
        <v>79.678516817802461</v>
      </c>
      <c r="F199" s="13">
        <f t="shared" si="37"/>
        <v>920.32148318219754</v>
      </c>
      <c r="G199" s="13">
        <f t="shared" si="38"/>
        <v>0.16291164246831613</v>
      </c>
      <c r="H199" s="5">
        <f t="shared" si="39"/>
        <v>920.15857153972922</v>
      </c>
      <c r="I199" s="22">
        <f t="shared" si="42"/>
        <v>2.0404399772153527E-3</v>
      </c>
      <c r="L199" s="19">
        <f t="shared" si="40"/>
        <v>12.823116962965717</v>
      </c>
      <c r="M199" s="19">
        <f t="shared" si="41"/>
        <v>2.6164800483743568E-2</v>
      </c>
      <c r="N199" s="19">
        <f t="shared" si="36"/>
        <v>2.6293046012781929E-4</v>
      </c>
      <c r="O199" s="19">
        <f t="shared" si="43"/>
        <v>1.9902413634746638E-2</v>
      </c>
    </row>
    <row r="200" spans="1:15" x14ac:dyDescent="0.25">
      <c r="A200" s="32">
        <v>0.16000014543533325</v>
      </c>
      <c r="B200" s="1">
        <v>136.75467020373412</v>
      </c>
      <c r="C200" s="34">
        <v>1.2347995724201573</v>
      </c>
      <c r="D200">
        <v>198</v>
      </c>
      <c r="E200" s="13">
        <f t="shared" si="35"/>
        <v>79.658614404167679</v>
      </c>
      <c r="F200" s="13">
        <f t="shared" si="37"/>
        <v>920.34138559583232</v>
      </c>
      <c r="G200" s="13">
        <f t="shared" si="38"/>
        <v>0.15677533764824148</v>
      </c>
      <c r="H200" s="5">
        <f t="shared" si="39"/>
        <v>920.18461025818408</v>
      </c>
      <c r="I200" s="22">
        <f t="shared" si="42"/>
        <v>1.964224420320103E-3</v>
      </c>
      <c r="L200" s="19">
        <f t="shared" si="40"/>
        <v>12.822807753184064</v>
      </c>
      <c r="M200" s="19">
        <f t="shared" si="41"/>
        <v>2.5186872125874091E-2</v>
      </c>
      <c r="N200" s="19">
        <f t="shared" si="36"/>
        <v>2.5310448761761695E-4</v>
      </c>
      <c r="O200" s="19">
        <f t="shared" si="43"/>
        <v>1.915385514394137E-2</v>
      </c>
    </row>
    <row r="201" spans="1:15" x14ac:dyDescent="0.25">
      <c r="A201" s="32">
        <v>0.16100014746189117</v>
      </c>
      <c r="B201" s="1">
        <v>133.33469214714955</v>
      </c>
      <c r="C201" s="34">
        <v>1.2318613169781949</v>
      </c>
      <c r="D201">
        <v>199</v>
      </c>
      <c r="E201" s="13">
        <f t="shared" si="35"/>
        <v>79.639460549023738</v>
      </c>
      <c r="F201" s="13">
        <f t="shared" si="37"/>
        <v>920.36053945097626</v>
      </c>
      <c r="G201" s="13">
        <f t="shared" si="38"/>
        <v>0.15087233248084431</v>
      </c>
      <c r="H201" s="5">
        <f t="shared" si="39"/>
        <v>920.20966711849542</v>
      </c>
      <c r="I201" s="22">
        <f t="shared" si="42"/>
        <v>1.8908597950694419E-3</v>
      </c>
      <c r="L201" s="19">
        <f t="shared" si="40"/>
        <v>12.822510202967868</v>
      </c>
      <c r="M201" s="19">
        <f t="shared" si="41"/>
        <v>2.424556901465965E-2</v>
      </c>
      <c r="N201" s="19">
        <f t="shared" si="36"/>
        <v>2.4364642494423272E-4</v>
      </c>
      <c r="O201" s="19">
        <f t="shared" si="43"/>
        <v>1.8433676354894051E-2</v>
      </c>
    </row>
    <row r="202" spans="1:15" x14ac:dyDescent="0.25">
      <c r="A202" s="32">
        <v>0.1620001494884491</v>
      </c>
      <c r="B202" s="1">
        <v>129.98999513729927</v>
      </c>
      <c r="C202" s="34">
        <v>1.2289265615504179</v>
      </c>
      <c r="D202">
        <v>200</v>
      </c>
      <c r="E202" s="13">
        <f t="shared" si="35"/>
        <v>79.621026872668835</v>
      </c>
      <c r="F202" s="13">
        <f t="shared" si="37"/>
        <v>920.37897312733116</v>
      </c>
      <c r="G202" s="13">
        <f t="shared" si="38"/>
        <v>0.14519359830387657</v>
      </c>
      <c r="H202" s="5">
        <f t="shared" si="39"/>
        <v>920.23377952902729</v>
      </c>
      <c r="I202" s="22">
        <f t="shared" si="42"/>
        <v>1.8202391619734971E-3</v>
      </c>
      <c r="L202" s="19">
        <f t="shared" si="40"/>
        <v>12.822223868092802</v>
      </c>
      <c r="M202" s="19">
        <f t="shared" si="41"/>
        <v>2.3339514028293814E-2</v>
      </c>
      <c r="N202" s="19">
        <f t="shared" si="36"/>
        <v>2.3454244526099899E-4</v>
      </c>
      <c r="O202" s="19">
        <f t="shared" si="43"/>
        <v>1.7740784820062087E-2</v>
      </c>
    </row>
    <row r="203" spans="1:15" x14ac:dyDescent="0.25">
      <c r="A203" s="32">
        <v>0.16300015151500702</v>
      </c>
      <c r="B203" s="1">
        <v>126.71972235093854</v>
      </c>
      <c r="C203" s="34">
        <v>1.2259953061368272</v>
      </c>
      <c r="D203">
        <v>201</v>
      </c>
      <c r="E203" s="13">
        <f t="shared" si="35"/>
        <v>79.603286087848801</v>
      </c>
      <c r="F203" s="13">
        <f t="shared" si="37"/>
        <v>920.3967139121512</v>
      </c>
      <c r="G203" s="13">
        <f t="shared" si="38"/>
        <v>0.13973046743751638</v>
      </c>
      <c r="H203" s="5">
        <f t="shared" si="39"/>
        <v>920.25698344471368</v>
      </c>
      <c r="I203" s="22">
        <f t="shared" si="42"/>
        <v>1.7522596143656091E-3</v>
      </c>
      <c r="L203" s="19">
        <f t="shared" si="40"/>
        <v>12.821948321594025</v>
      </c>
      <c r="M203" s="19">
        <f t="shared" si="41"/>
        <v>2.2467382221412115E-2</v>
      </c>
      <c r="N203" s="19">
        <f t="shared" si="36"/>
        <v>2.2577924510336356E-4</v>
      </c>
      <c r="O203" s="19">
        <f t="shared" si="43"/>
        <v>1.7074131348628504E-2</v>
      </c>
    </row>
    <row r="204" spans="1:15" x14ac:dyDescent="0.25">
      <c r="A204" s="32">
        <v>0.16400015354156494</v>
      </c>
      <c r="B204" s="1">
        <v>123.52298066003057</v>
      </c>
      <c r="C204" s="34">
        <v>1.2230675507374222</v>
      </c>
      <c r="D204">
        <v>202</v>
      </c>
      <c r="E204" s="13">
        <f t="shared" si="35"/>
        <v>79.586211956500165</v>
      </c>
      <c r="F204" s="13">
        <f t="shared" si="37"/>
        <v>920.41378804349984</v>
      </c>
      <c r="G204" s="13">
        <f t="shared" si="38"/>
        <v>0.13447461791633941</v>
      </c>
      <c r="H204" s="5">
        <f t="shared" si="39"/>
        <v>920.2793134255835</v>
      </c>
      <c r="I204" s="22">
        <f t="shared" si="42"/>
        <v>1.6868221247795202E-3</v>
      </c>
      <c r="L204" s="19">
        <f t="shared" si="40"/>
        <v>12.821683153071195</v>
      </c>
      <c r="M204" s="19">
        <f t="shared" si="41"/>
        <v>2.1627898819513332E-2</v>
      </c>
      <c r="N204" s="19">
        <f t="shared" si="36"/>
        <v>2.1734402430628741E-4</v>
      </c>
      <c r="O204" s="19">
        <f t="shared" si="43"/>
        <v>1.6432708206622969E-2</v>
      </c>
    </row>
    <row r="205" spans="1:15" x14ac:dyDescent="0.25">
      <c r="A205" s="32">
        <v>0.16500015556812286</v>
      </c>
      <c r="B205" s="1">
        <v>120.39884351976001</v>
      </c>
      <c r="C205" s="34">
        <v>1.2201432953522033</v>
      </c>
      <c r="D205">
        <v>203</v>
      </c>
      <c r="E205" s="13">
        <f t="shared" si="35"/>
        <v>79.569779248293571</v>
      </c>
      <c r="F205" s="13">
        <f t="shared" si="37"/>
        <v>920.43022075170643</v>
      </c>
      <c r="G205" s="13">
        <f t="shared" si="38"/>
        <v>0.1294180589258076</v>
      </c>
      <c r="H205" s="5">
        <f t="shared" si="39"/>
        <v>920.30080269278062</v>
      </c>
      <c r="I205" s="22">
        <f t="shared" si="42"/>
        <v>1.6238313972841549E-3</v>
      </c>
      <c r="L205" s="19">
        <f t="shared" si="40"/>
        <v>12.821427968023231</v>
      </c>
      <c r="M205" s="19">
        <f t="shared" si="41"/>
        <v>2.0819837292493305E-2</v>
      </c>
      <c r="N205" s="19">
        <f t="shared" si="36"/>
        <v>2.0922446671267636E-4</v>
      </c>
      <c r="O205" s="19">
        <f t="shared" si="43"/>
        <v>1.5815547398186122E-2</v>
      </c>
    </row>
    <row r="206" spans="1:15" x14ac:dyDescent="0.25">
      <c r="A206" s="32">
        <v>0.16600015759468079</v>
      </c>
      <c r="B206" s="1">
        <v>117.34635379084993</v>
      </c>
      <c r="C206" s="34">
        <v>1.2172225399811702</v>
      </c>
      <c r="D206">
        <v>204</v>
      </c>
      <c r="E206" s="13">
        <f t="shared" si="35"/>
        <v>79.553963700895338</v>
      </c>
      <c r="F206" s="13">
        <f t="shared" si="37"/>
        <v>920.44603629910466</v>
      </c>
      <c r="G206" s="13">
        <f t="shared" si="38"/>
        <v>0.12455311690712279</v>
      </c>
      <c r="H206" s="5">
        <f t="shared" si="39"/>
        <v>920.32148318219754</v>
      </c>
      <c r="I206" s="22">
        <f t="shared" si="42"/>
        <v>1.5631957255420957E-3</v>
      </c>
      <c r="L206" s="19">
        <f t="shared" si="40"/>
        <v>12.821182387211405</v>
      </c>
      <c r="M206" s="19">
        <f t="shared" si="41"/>
        <v>2.0042017504084471E-2</v>
      </c>
      <c r="N206" s="19">
        <f t="shared" si="36"/>
        <v>2.0140872163743051E-4</v>
      </c>
      <c r="O206" s="19">
        <f t="shared" si="43"/>
        <v>1.5221719023678484E-2</v>
      </c>
    </row>
    <row r="207" spans="1:15" x14ac:dyDescent="0.25">
      <c r="A207" s="32">
        <v>0.16700015962123871</v>
      </c>
      <c r="B207" s="1">
        <v>114.36452649075429</v>
      </c>
      <c r="C207" s="34">
        <v>1.2143052846243234</v>
      </c>
      <c r="D207">
        <v>205</v>
      </c>
      <c r="E207" s="13">
        <f t="shared" si="35"/>
        <v>79.538741981871681</v>
      </c>
      <c r="F207" s="13">
        <f t="shared" si="37"/>
        <v>920.46125801812832</v>
      </c>
      <c r="G207" s="13">
        <f t="shared" si="38"/>
        <v>0.11987242229599815</v>
      </c>
      <c r="H207" s="5">
        <f t="shared" si="39"/>
        <v>920.34138559583232</v>
      </c>
      <c r="I207" s="22">
        <f t="shared" si="42"/>
        <v>1.5048268563622733E-3</v>
      </c>
      <c r="L207" s="19">
        <f t="shared" si="40"/>
        <v>12.820946046049492</v>
      </c>
      <c r="M207" s="19">
        <f t="shared" si="41"/>
        <v>1.9293303934066974E-2</v>
      </c>
      <c r="N207" s="19">
        <f t="shared" si="36"/>
        <v>1.9388538605979999E-4</v>
      </c>
      <c r="O207" s="19">
        <f t="shared" si="43"/>
        <v>1.465032971107271E-2</v>
      </c>
    </row>
    <row r="208" spans="1:15" x14ac:dyDescent="0.25">
      <c r="A208" s="32">
        <v>0.16800016164779663</v>
      </c>
      <c r="B208" s="1">
        <v>111.45235146927953</v>
      </c>
      <c r="C208" s="34">
        <v>1.2113915292816619</v>
      </c>
      <c r="D208">
        <v>206</v>
      </c>
      <c r="E208" s="13">
        <f t="shared" si="35"/>
        <v>79.524091652160564</v>
      </c>
      <c r="F208" s="13">
        <f t="shared" si="37"/>
        <v>920.47590834783944</v>
      </c>
      <c r="G208" s="13">
        <f t="shared" si="38"/>
        <v>0.11536889686317409</v>
      </c>
      <c r="H208" s="5">
        <f t="shared" si="39"/>
        <v>920.36053945097626</v>
      </c>
      <c r="I208" s="22">
        <f t="shared" si="42"/>
        <v>1.448639858530387E-3</v>
      </c>
      <c r="L208" s="19">
        <f t="shared" si="40"/>
        <v>12.820718594019656</v>
      </c>
      <c r="M208" s="19">
        <f t="shared" si="41"/>
        <v>1.8572603970298536E-2</v>
      </c>
      <c r="N208" s="19">
        <f t="shared" si="36"/>
        <v>1.8664348751229465E-4</v>
      </c>
      <c r="O208" s="19">
        <f t="shared" si="43"/>
        <v>1.4100521116846274E-2</v>
      </c>
    </row>
    <row r="209" spans="1:15" x14ac:dyDescent="0.25">
      <c r="A209" s="32">
        <v>0.16900016367435455</v>
      </c>
      <c r="B209" s="1">
        <v>108.60879600432676</v>
      </c>
      <c r="C209" s="34">
        <v>1.2084812739531869</v>
      </c>
      <c r="D209">
        <v>207</v>
      </c>
      <c r="E209" s="13">
        <f t="shared" si="35"/>
        <v>79.509991131043762</v>
      </c>
      <c r="F209" s="13">
        <f t="shared" si="37"/>
        <v>920.49000886895624</v>
      </c>
      <c r="G209" s="13">
        <f t="shared" si="38"/>
        <v>0.11103574162507357</v>
      </c>
      <c r="H209" s="5">
        <f t="shared" si="39"/>
        <v>920.37897312733116</v>
      </c>
      <c r="I209" s="22">
        <f t="shared" si="42"/>
        <v>1.3945529966932432E-3</v>
      </c>
      <c r="L209" s="19">
        <f t="shared" si="40"/>
        <v>12.820499694112943</v>
      </c>
      <c r="M209" s="19">
        <f t="shared" si="41"/>
        <v>1.7878866267530012E-2</v>
      </c>
      <c r="N209" s="19">
        <f t="shared" si="36"/>
        <v>1.796724676370598E-4</v>
      </c>
      <c r="O209" s="19">
        <f t="shared" si="43"/>
        <v>1.3571468492899603E-2</v>
      </c>
    </row>
    <row r="210" spans="1:15" x14ac:dyDescent="0.25">
      <c r="A210" s="32">
        <v>0.17000016570091248</v>
      </c>
      <c r="B210" s="1">
        <v>105.83280731452011</v>
      </c>
      <c r="C210" s="34">
        <v>1.2055745186388973</v>
      </c>
      <c r="D210">
        <v>208</v>
      </c>
      <c r="E210" s="13">
        <f t="shared" si="35"/>
        <v>79.496419662550807</v>
      </c>
      <c r="F210" s="13">
        <f t="shared" si="37"/>
        <v>920.50358033744919</v>
      </c>
      <c r="G210" s="13">
        <f t="shared" si="38"/>
        <v>0.10686642529799428</v>
      </c>
      <c r="H210" s="5">
        <f t="shared" si="39"/>
        <v>920.3967139121512</v>
      </c>
      <c r="I210" s="22">
        <f t="shared" si="42"/>
        <v>1.3424876101227575E-3</v>
      </c>
      <c r="L210" s="19">
        <f t="shared" si="40"/>
        <v>12.820289022293204</v>
      </c>
      <c r="M210" s="19">
        <f t="shared" si="41"/>
        <v>1.7211079170621427E-2</v>
      </c>
      <c r="N210" s="19">
        <f t="shared" si="36"/>
        <v>1.7296216638540418E-4</v>
      </c>
      <c r="O210" s="19">
        <f t="shared" si="43"/>
        <v>1.3062379316482128E-2</v>
      </c>
    </row>
    <row r="211" spans="1:15" x14ac:dyDescent="0.25">
      <c r="A211" s="32">
        <v>0.1710001677274704</v>
      </c>
      <c r="B211" s="1">
        <v>103.12331498581599</v>
      </c>
      <c r="C211" s="34">
        <v>1.2026712633387939</v>
      </c>
      <c r="D211">
        <v>209</v>
      </c>
      <c r="E211" s="13">
        <f t="shared" si="35"/>
        <v>79.483357283234341</v>
      </c>
      <c r="F211" s="13">
        <f t="shared" si="37"/>
        <v>920.51664271676566</v>
      </c>
      <c r="G211" s="13">
        <f t="shared" si="38"/>
        <v>0.1028546732658242</v>
      </c>
      <c r="H211" s="5">
        <f t="shared" si="39"/>
        <v>920.41378804349984</v>
      </c>
      <c r="I211" s="22">
        <f t="shared" si="42"/>
        <v>1.2923679961303095E-3</v>
      </c>
      <c r="L211" s="19">
        <f t="shared" si="40"/>
        <v>12.820086266983441</v>
      </c>
      <c r="M211" s="19">
        <f t="shared" si="41"/>
        <v>1.656826919907909E-2</v>
      </c>
      <c r="N211" s="19">
        <f t="shared" si="36"/>
        <v>1.6650280683072616E-4</v>
      </c>
      <c r="O211" s="19">
        <f t="shared" si="43"/>
        <v>1.2572491979788561E-2</v>
      </c>
    </row>
    <row r="212" spans="1:15" x14ac:dyDescent="0.25">
      <c r="A212" s="32">
        <v>0.17200016975402832</v>
      </c>
      <c r="B212" s="1">
        <v>100.47923330961841</v>
      </c>
      <c r="C212" s="34">
        <v>1.1997715080528764</v>
      </c>
      <c r="D212">
        <v>210</v>
      </c>
      <c r="E212" s="13">
        <f t="shared" si="35"/>
        <v>79.470784791254573</v>
      </c>
      <c r="F212" s="13">
        <f t="shared" si="37"/>
        <v>920.52921520874543</v>
      </c>
      <c r="G212" s="13">
        <f t="shared" si="38"/>
        <v>9.8994457038998007E-2</v>
      </c>
      <c r="H212" s="5">
        <f t="shared" si="39"/>
        <v>920.43022075170643</v>
      </c>
      <c r="I212" s="22">
        <f t="shared" si="42"/>
        <v>1.2441212979879043E-3</v>
      </c>
      <c r="L212" s="19">
        <f t="shared" si="40"/>
        <v>12.819891128573488</v>
      </c>
      <c r="M212" s="19">
        <f t="shared" si="41"/>
        <v>1.5949499590944466E-2</v>
      </c>
      <c r="N212" s="19">
        <f t="shared" si="36"/>
        <v>1.602849805739659E-4</v>
      </c>
      <c r="O212" s="19">
        <f t="shared" si="43"/>
        <v>1.210107453664086E-2</v>
      </c>
    </row>
    <row r="213" spans="1:15" x14ac:dyDescent="0.25">
      <c r="A213" s="32">
        <v>0.17300017178058624</v>
      </c>
      <c r="B213" s="1">
        <v>97.899463530915881</v>
      </c>
      <c r="C213" s="34">
        <v>1.1968752527811448</v>
      </c>
      <c r="D213">
        <v>211</v>
      </c>
      <c r="E213" s="13">
        <f t="shared" si="35"/>
        <v>79.458683716717928</v>
      </c>
      <c r="F213" s="13">
        <f t="shared" si="37"/>
        <v>920.54131628328207</v>
      </c>
      <c r="G213" s="13">
        <f t="shared" si="38"/>
        <v>9.527998417740946E-2</v>
      </c>
      <c r="H213" s="5">
        <f t="shared" si="39"/>
        <v>920.44603629910466</v>
      </c>
      <c r="I213" s="22">
        <f t="shared" si="42"/>
        <v>1.1976773971393853E-3</v>
      </c>
      <c r="L213" s="19">
        <f t="shared" si="40"/>
        <v>12.819703318948132</v>
      </c>
      <c r="M213" s="19">
        <f t="shared" si="41"/>
        <v>1.5353868903136938E-2</v>
      </c>
      <c r="N213" s="19">
        <f t="shared" si="36"/>
        <v>1.5429963371393907E-4</v>
      </c>
      <c r="O213" s="19">
        <f t="shared" si="43"/>
        <v>1.1647423503237246E-2</v>
      </c>
    </row>
    <row r="214" spans="1:15" x14ac:dyDescent="0.25">
      <c r="A214" s="32">
        <v>0.17400017380714417</v>
      </c>
      <c r="B214" s="1">
        <v>95.382896004808032</v>
      </c>
      <c r="C214" s="34">
        <v>1.1939824975235991</v>
      </c>
      <c r="D214">
        <v>212</v>
      </c>
      <c r="E214" s="13">
        <f t="shared" si="35"/>
        <v>79.447036293214637</v>
      </c>
      <c r="F214" s="13">
        <f t="shared" si="37"/>
        <v>920.55296370678536</v>
      </c>
      <c r="G214" s="13">
        <f t="shared" si="38"/>
        <v>9.1705688657043538E-2</v>
      </c>
      <c r="H214" s="5">
        <f t="shared" si="39"/>
        <v>920.46125801812832</v>
      </c>
      <c r="I214" s="22">
        <f t="shared" si="42"/>
        <v>1.152968809563834E-3</v>
      </c>
      <c r="L214" s="19">
        <f t="shared" si="40"/>
        <v>12.819522561034727</v>
      </c>
      <c r="M214" s="19">
        <f t="shared" si="41"/>
        <v>1.4780509666372923E-2</v>
      </c>
      <c r="N214" s="19">
        <f t="shared" si="36"/>
        <v>1.4853805336378922E-4</v>
      </c>
      <c r="O214" s="19">
        <f t="shared" si="43"/>
        <v>1.1210862710690593E-2</v>
      </c>
    </row>
    <row r="215" spans="1:15" x14ac:dyDescent="0.25">
      <c r="A215" s="32">
        <v>0.17500017583370209</v>
      </c>
      <c r="B215" s="1">
        <v>92.928412260841199</v>
      </c>
      <c r="C215" s="34">
        <v>1.1910932422802396</v>
      </c>
      <c r="D215">
        <v>213</v>
      </c>
      <c r="E215" s="13">
        <f t="shared" si="35"/>
        <v>79.435825430503996</v>
      </c>
      <c r="F215" s="13">
        <f t="shared" si="37"/>
        <v>920.564174569496</v>
      </c>
      <c r="G215" s="13">
        <f t="shared" si="38"/>
        <v>8.8266221656567723E-2</v>
      </c>
      <c r="H215" s="5">
        <f t="shared" si="39"/>
        <v>920.47590834783944</v>
      </c>
      <c r="I215" s="22">
        <f t="shared" si="42"/>
        <v>1.1099305861001891E-3</v>
      </c>
      <c r="L215" s="19">
        <f t="shared" si="40"/>
        <v>12.819348588369408</v>
      </c>
      <c r="M215" s="19">
        <f t="shared" si="41"/>
        <v>1.4228587092111488E-2</v>
      </c>
      <c r="N215" s="19">
        <f t="shared" si="36"/>
        <v>1.4299185468658049E-4</v>
      </c>
      <c r="O215" s="19">
        <f t="shared" si="43"/>
        <v>1.0790742206523842E-2</v>
      </c>
    </row>
    <row r="216" spans="1:15" x14ac:dyDescent="0.25">
      <c r="A216" s="32">
        <v>0.17600017786026001</v>
      </c>
      <c r="B216" s="1">
        <v>90.534886974556386</v>
      </c>
      <c r="C216" s="34">
        <v>1.1882074870510655</v>
      </c>
      <c r="D216">
        <v>214</v>
      </c>
      <c r="E216" s="13">
        <f t="shared" si="35"/>
        <v>79.425034688297501</v>
      </c>
      <c r="F216" s="13">
        <f t="shared" si="37"/>
        <v>920.5749653117025</v>
      </c>
      <c r="G216" s="13">
        <f t="shared" si="38"/>
        <v>8.4956442746261018E-2</v>
      </c>
      <c r="H216" s="5">
        <f t="shared" si="39"/>
        <v>920.49000886895624</v>
      </c>
      <c r="I216" s="22">
        <f t="shared" si="42"/>
        <v>1.068500216611026E-3</v>
      </c>
      <c r="L216" s="19">
        <f t="shared" si="40"/>
        <v>12.819181144681144</v>
      </c>
      <c r="M216" s="19">
        <f t="shared" si="41"/>
        <v>1.3697297829867783E-2</v>
      </c>
      <c r="N216" s="19">
        <f t="shared" si="36"/>
        <v>1.3765296843626373E-4</v>
      </c>
      <c r="O216" s="19">
        <f t="shared" si="43"/>
        <v>1.0386437203347499E-2</v>
      </c>
    </row>
    <row r="217" spans="1:15" x14ac:dyDescent="0.25">
      <c r="A217" s="32">
        <v>0.17700017988681793</v>
      </c>
      <c r="B217" s="1">
        <v>88.201189846312218</v>
      </c>
      <c r="C217" s="34">
        <v>1.1853252318360779</v>
      </c>
      <c r="D217">
        <v>215</v>
      </c>
      <c r="E217" s="13">
        <f t="shared" si="35"/>
        <v>79.41464825109415</v>
      </c>
      <c r="F217" s="13">
        <f t="shared" si="37"/>
        <v>920.58535174890585</v>
      </c>
      <c r="G217" s="13">
        <f t="shared" si="38"/>
        <v>8.1771411456657006E-2</v>
      </c>
      <c r="H217" s="5">
        <f t="shared" si="39"/>
        <v>920.50358033744919</v>
      </c>
      <c r="I217" s="22">
        <f t="shared" si="42"/>
        <v>1.0286175377930624E-3</v>
      </c>
      <c r="L217" s="19">
        <f t="shared" si="40"/>
        <v>12.81901998349279</v>
      </c>
      <c r="M217" s="19">
        <f t="shared" si="41"/>
        <v>1.3185868772340417E-2</v>
      </c>
      <c r="N217" s="19">
        <f t="shared" si="36"/>
        <v>1.325136289755946E-4</v>
      </c>
      <c r="O217" s="19">
        <f t="shared" si="43"/>
        <v>9.9973470718942008E-3</v>
      </c>
    </row>
    <row r="218" spans="1:15" x14ac:dyDescent="0.25">
      <c r="A218" s="32">
        <v>0.17800018191337585</v>
      </c>
      <c r="B218" s="1">
        <v>85.926187387706165</v>
      </c>
      <c r="C218" s="34">
        <v>1.1824464766352756</v>
      </c>
      <c r="D218">
        <v>216</v>
      </c>
      <c r="E218" s="13">
        <f t="shared" si="35"/>
        <v>79.404650904022219</v>
      </c>
      <c r="F218" s="13">
        <f t="shared" si="37"/>
        <v>920.59534909597778</v>
      </c>
      <c r="G218" s="13">
        <f t="shared" si="38"/>
        <v>7.8706379212121647E-2</v>
      </c>
      <c r="H218" s="5">
        <f t="shared" si="39"/>
        <v>920.51664271676566</v>
      </c>
      <c r="I218" s="22">
        <f t="shared" si="42"/>
        <v>9.9022464453352188E-4</v>
      </c>
      <c r="L218" s="19">
        <f t="shared" si="40"/>
        <v>12.818864867738407</v>
      </c>
      <c r="M218" s="19">
        <f t="shared" si="41"/>
        <v>1.2693555906979516E-2</v>
      </c>
      <c r="N218" s="19">
        <f t="shared" si="36"/>
        <v>1.2756636275990108E-4</v>
      </c>
      <c r="O218" s="19">
        <f t="shared" si="43"/>
        <v>9.6228943769435145E-3</v>
      </c>
    </row>
    <row r="219" spans="1:15" x14ac:dyDescent="0.25">
      <c r="A219" s="32">
        <v>0.17900018393993378</v>
      </c>
      <c r="B219" s="1">
        <v>83.708744616164495</v>
      </c>
      <c r="C219" s="34">
        <v>1.1795712214486596</v>
      </c>
      <c r="D219">
        <v>217</v>
      </c>
      <c r="E219" s="13">
        <f t="shared" si="35"/>
        <v>79.39502800964533</v>
      </c>
      <c r="F219" s="13">
        <f t="shared" si="37"/>
        <v>920.60497199035467</v>
      </c>
      <c r="G219" s="13">
        <f t="shared" si="38"/>
        <v>7.5756781609243262E-2</v>
      </c>
      <c r="H219" s="5">
        <f t="shared" si="39"/>
        <v>920.52921520874543</v>
      </c>
      <c r="I219" s="22">
        <f t="shared" si="42"/>
        <v>9.5326580463793258E-4</v>
      </c>
      <c r="L219" s="19">
        <f t="shared" si="40"/>
        <v>12.818715569396149</v>
      </c>
      <c r="M219" s="19">
        <f t="shared" si="41"/>
        <v>1.2219643211685213E-2</v>
      </c>
      <c r="N219" s="19">
        <f t="shared" si="36"/>
        <v>1.2280397726160963E-4</v>
      </c>
      <c r="O219" s="19">
        <f t="shared" si="43"/>
        <v>9.2625239536622776E-3</v>
      </c>
    </row>
    <row r="220" spans="1:15" x14ac:dyDescent="0.25">
      <c r="A220" s="32">
        <v>0.1800001859664917</v>
      </c>
      <c r="B220" s="1">
        <v>81.547726658950054</v>
      </c>
      <c r="C220" s="34">
        <v>1.1766994662762293</v>
      </c>
      <c r="D220">
        <v>218</v>
      </c>
      <c r="E220" s="13">
        <f t="shared" si="35"/>
        <v>79.38576548569165</v>
      </c>
      <c r="F220" s="13">
        <f t="shared" si="37"/>
        <v>920.61423451430835</v>
      </c>
      <c r="G220" s="13">
        <f t="shared" si="38"/>
        <v>7.291823102627859E-2</v>
      </c>
      <c r="H220" s="5">
        <f t="shared" si="39"/>
        <v>920.54131628328207</v>
      </c>
      <c r="I220" s="22">
        <f t="shared" si="42"/>
        <v>9.1768737682898158E-4</v>
      </c>
      <c r="L220" s="19">
        <f t="shared" si="40"/>
        <v>12.818571869136026</v>
      </c>
      <c r="M220" s="19">
        <f t="shared" si="41"/>
        <v>1.1763441593281215E-2</v>
      </c>
      <c r="N220" s="19">
        <f t="shared" si="36"/>
        <v>1.182195503236505E-4</v>
      </c>
      <c r="O220" s="19">
        <f t="shared" si="43"/>
        <v>8.9157020229263789E-3</v>
      </c>
    </row>
    <row r="221" spans="1:15" x14ac:dyDescent="0.25">
      <c r="A221" s="32">
        <v>0.18100018799304962</v>
      </c>
      <c r="B221" s="1">
        <v>79.442000267436129</v>
      </c>
      <c r="C221" s="34">
        <v>1.1738312111179852</v>
      </c>
      <c r="D221">
        <v>219</v>
      </c>
      <c r="E221" s="13">
        <f t="shared" si="35"/>
        <v>79.376849783668717</v>
      </c>
      <c r="F221" s="13">
        <f t="shared" si="37"/>
        <v>920.62315021633128</v>
      </c>
      <c r="G221" s="13">
        <f t="shared" si="38"/>
        <v>7.0186509545919762E-2</v>
      </c>
      <c r="H221" s="5">
        <f t="shared" si="39"/>
        <v>920.55296370678536</v>
      </c>
      <c r="I221" s="22">
        <f t="shared" si="42"/>
        <v>8.8343773186054281E-4</v>
      </c>
      <c r="L221" s="19">
        <f t="shared" si="40"/>
        <v>12.818433555981924</v>
      </c>
      <c r="M221" s="19">
        <f t="shared" si="41"/>
        <v>1.1324287866701744E-2</v>
      </c>
      <c r="N221" s="19">
        <f t="shared" si="36"/>
        <v>1.1380641992009277E-4</v>
      </c>
      <c r="O221" s="19">
        <f t="shared" si="43"/>
        <v>8.5819153434936093E-3</v>
      </c>
    </row>
    <row r="222" spans="1:15" x14ac:dyDescent="0.25">
      <c r="A222" s="32">
        <v>0.18200019001960754</v>
      </c>
      <c r="B222" s="1">
        <v>77.390435243533162</v>
      </c>
      <c r="C222" s="34">
        <v>1.1709664559739268</v>
      </c>
      <c r="D222">
        <v>220</v>
      </c>
      <c r="E222" s="13">
        <f t="shared" si="35"/>
        <v>79.368267868325233</v>
      </c>
      <c r="F222" s="13">
        <f t="shared" si="37"/>
        <v>920.63173213167477</v>
      </c>
      <c r="G222" s="13">
        <f t="shared" si="38"/>
        <v>6.7557562178762964E-2</v>
      </c>
      <c r="H222" s="5">
        <f t="shared" si="39"/>
        <v>920.564174569496</v>
      </c>
      <c r="I222" s="22">
        <f t="shared" si="42"/>
        <v>8.5046717665025122E-4</v>
      </c>
      <c r="L222" s="19">
        <f t="shared" si="40"/>
        <v>12.818300426987236</v>
      </c>
      <c r="M222" s="19">
        <f t="shared" si="41"/>
        <v>1.0901543773594544E-2</v>
      </c>
      <c r="N222" s="19">
        <f t="shared" si="36"/>
        <v>1.0955817431113068E-4</v>
      </c>
      <c r="O222" s="19">
        <f t="shared" si="43"/>
        <v>8.2606703995959634E-3</v>
      </c>
    </row>
    <row r="223" spans="1:15" x14ac:dyDescent="0.25">
      <c r="A223" s="32">
        <v>0.18300019204616547</v>
      </c>
      <c r="B223" s="1">
        <v>75.391905779564055</v>
      </c>
      <c r="C223" s="34">
        <v>1.1681052008440547</v>
      </c>
      <c r="D223">
        <v>221</v>
      </c>
      <c r="E223" s="13">
        <f t="shared" si="35"/>
        <v>79.360007197925597</v>
      </c>
      <c r="F223" s="13">
        <f t="shared" si="37"/>
        <v>920.6399928020744</v>
      </c>
      <c r="G223" s="13">
        <f t="shared" si="38"/>
        <v>6.5027490371903696E-2</v>
      </c>
      <c r="H223" s="5">
        <f t="shared" si="39"/>
        <v>920.5749653117025</v>
      </c>
      <c r="I223" s="22">
        <f t="shared" si="42"/>
        <v>8.1872788129212944E-4</v>
      </c>
      <c r="L223" s="19">
        <f t="shared" si="40"/>
        <v>12.818172286923534</v>
      </c>
      <c r="M223" s="19">
        <f t="shared" si="41"/>
        <v>1.0494595038510395E-2</v>
      </c>
      <c r="N223" s="19">
        <f t="shared" si="36"/>
        <v>1.0546864257510169E-4</v>
      </c>
      <c r="O223" s="19">
        <f t="shared" si="43"/>
        <v>7.9514926222197368E-3</v>
      </c>
    </row>
    <row r="224" spans="1:15" x14ac:dyDescent="0.25">
      <c r="A224" s="32">
        <v>0.18400019407272339</v>
      </c>
      <c r="B224" s="1">
        <v>73.445291714004469</v>
      </c>
      <c r="C224" s="34">
        <v>1.1652474457283679</v>
      </c>
      <c r="D224">
        <v>222</v>
      </c>
      <c r="E224" s="13">
        <f t="shared" si="35"/>
        <v>79.352055705303428</v>
      </c>
      <c r="F224" s="13">
        <f t="shared" si="37"/>
        <v>920.64794429469657</v>
      </c>
      <c r="G224" s="13">
        <f t="shared" si="38"/>
        <v>6.2592545790721488E-2</v>
      </c>
      <c r="H224" s="5">
        <f t="shared" si="39"/>
        <v>920.58535174890585</v>
      </c>
      <c r="I224" s="22">
        <f t="shared" si="42"/>
        <v>7.8817380885218627E-4</v>
      </c>
      <c r="L224" s="19">
        <f t="shared" si="40"/>
        <v>12.818048947981742</v>
      </c>
      <c r="M224" s="19">
        <f t="shared" si="41"/>
        <v>1.010285046138453E-2</v>
      </c>
      <c r="N224" s="19">
        <f t="shared" si="36"/>
        <v>1.0153188550376946E-4</v>
      </c>
      <c r="O224" s="19">
        <f t="shared" si="43"/>
        <v>7.6539256426416237E-3</v>
      </c>
    </row>
    <row r="225" spans="1:15" x14ac:dyDescent="0.25">
      <c r="A225" s="32">
        <v>0.18500019609928131</v>
      </c>
      <c r="B225" s="1">
        <v>71.549479704619515</v>
      </c>
      <c r="C225" s="34">
        <v>1.1623931906268676</v>
      </c>
      <c r="D225">
        <v>223</v>
      </c>
      <c r="E225" s="13">
        <f t="shared" si="35"/>
        <v>79.344401779660757</v>
      </c>
      <c r="F225" s="13">
        <f t="shared" si="37"/>
        <v>920.65559822033924</v>
      </c>
      <c r="G225" s="13">
        <f t="shared" si="38"/>
        <v>6.0249124361462236E-2</v>
      </c>
      <c r="H225" s="5">
        <f t="shared" si="39"/>
        <v>920.59534909597778</v>
      </c>
      <c r="I225" s="22">
        <f t="shared" si="42"/>
        <v>7.5876064784021781E-4</v>
      </c>
      <c r="L225" s="19">
        <f t="shared" si="40"/>
        <v>12.817930229485265</v>
      </c>
      <c r="M225" s="19">
        <f t="shared" si="41"/>
        <v>9.7257410448949519E-3</v>
      </c>
      <c r="N225" s="19">
        <f t="shared" si="36"/>
        <v>9.7742186846550005E-5</v>
      </c>
      <c r="O225" s="19">
        <f t="shared" si="43"/>
        <v>7.367530576776569E-3</v>
      </c>
    </row>
    <row r="226" spans="1:15" x14ac:dyDescent="0.25">
      <c r="A226" s="32">
        <v>0.18600019812583923</v>
      </c>
      <c r="B226" s="1">
        <v>69.703364321654462</v>
      </c>
      <c r="C226" s="34">
        <v>1.1595424355395527</v>
      </c>
      <c r="D226">
        <v>224</v>
      </c>
      <c r="E226" s="13">
        <f t="shared" si="35"/>
        <v>79.337034249084013</v>
      </c>
      <c r="F226" s="13">
        <f t="shared" si="37"/>
        <v>920.66296575091599</v>
      </c>
      <c r="G226" s="13">
        <f t="shared" si="38"/>
        <v>5.7993760561316776E-2</v>
      </c>
      <c r="H226" s="5">
        <f t="shared" si="39"/>
        <v>920.60497199035467</v>
      </c>
      <c r="I226" s="22">
        <f t="shared" si="42"/>
        <v>7.3044574723585189E-4</v>
      </c>
      <c r="L226" s="19">
        <f t="shared" si="40"/>
        <v>12.817815957614538</v>
      </c>
      <c r="M226" s="19">
        <f t="shared" si="41"/>
        <v>9.3627191550913775E-3</v>
      </c>
      <c r="N226" s="19">
        <f t="shared" si="36"/>
        <v>9.4094044888359818E-5</v>
      </c>
      <c r="O226" s="19">
        <f t="shared" si="43"/>
        <v>7.0918853388455185E-3</v>
      </c>
    </row>
    <row r="227" spans="1:15" x14ac:dyDescent="0.25">
      <c r="A227" s="32">
        <v>0.18700020015239716</v>
      </c>
      <c r="B227" s="1">
        <v>67.905849063017811</v>
      </c>
      <c r="C227" s="34">
        <v>1.1566951804664241</v>
      </c>
      <c r="D227">
        <v>225</v>
      </c>
      <c r="E227" s="13">
        <f t="shared" si="35"/>
        <v>79.329942363745204</v>
      </c>
      <c r="F227" s="13">
        <f t="shared" si="37"/>
        <v>920.6700576362548</v>
      </c>
      <c r="G227" s="13">
        <f t="shared" si="38"/>
        <v>5.5823121946446008E-2</v>
      </c>
      <c r="H227" s="5">
        <f t="shared" si="39"/>
        <v>920.61423451430835</v>
      </c>
      <c r="I227" s="22">
        <f t="shared" si="42"/>
        <v>7.0318805399070534E-4</v>
      </c>
      <c r="L227" s="19">
        <f t="shared" si="40"/>
        <v>12.817705965142586</v>
      </c>
      <c r="M227" s="19">
        <f t="shared" si="41"/>
        <v>9.0132577142536703E-3</v>
      </c>
      <c r="N227" s="19">
        <f t="shared" si="36"/>
        <v>9.0582164350427874E-5</v>
      </c>
      <c r="O227" s="19">
        <f t="shared" si="43"/>
        <v>6.8265839832476012E-3</v>
      </c>
    </row>
    <row r="228" spans="1:15" x14ac:dyDescent="0.25">
      <c r="A228" s="32">
        <v>0.18800020217895508</v>
      </c>
      <c r="B228" s="1">
        <v>66.155847294282935</v>
      </c>
      <c r="C228" s="34">
        <v>1.1538514254074812</v>
      </c>
      <c r="D228">
        <v>226</v>
      </c>
      <c r="E228" s="13">
        <f t="shared" si="35"/>
        <v>79.323115779761906</v>
      </c>
      <c r="F228" s="13">
        <f t="shared" si="37"/>
        <v>920.67688422023809</v>
      </c>
      <c r="G228" s="13">
        <f t="shared" si="38"/>
        <v>5.3734003906811267E-2</v>
      </c>
      <c r="H228" s="5">
        <f t="shared" si="39"/>
        <v>920.62315021633128</v>
      </c>
      <c r="I228" s="22">
        <f t="shared" si="42"/>
        <v>6.769480529053031E-4</v>
      </c>
      <c r="L228" s="19">
        <f t="shared" si="40"/>
        <v>12.817600091181065</v>
      </c>
      <c r="M228" s="19">
        <f t="shared" si="41"/>
        <v>8.6768494246438569E-3</v>
      </c>
      <c r="N228" s="19">
        <f t="shared" si="36"/>
        <v>8.720144860052681E-5</v>
      </c>
      <c r="O228" s="19">
        <f t="shared" si="43"/>
        <v>6.5712360733274173E-3</v>
      </c>
    </row>
    <row r="229" spans="1:15" x14ac:dyDescent="0.25">
      <c r="A229" s="32">
        <v>0.189000204205513</v>
      </c>
      <c r="B229" s="1">
        <v>64.452283115805074</v>
      </c>
      <c r="C229" s="34">
        <v>1.1510111703627244</v>
      </c>
      <c r="D229">
        <v>227</v>
      </c>
      <c r="E229" s="13">
        <f t="shared" si="35"/>
        <v>79.316544543688565</v>
      </c>
      <c r="F229" s="13">
        <f t="shared" si="37"/>
        <v>920.68345545631144</v>
      </c>
      <c r="G229" s="13">
        <f t="shared" si="38"/>
        <v>5.1723324636668622E-2</v>
      </c>
      <c r="H229" s="5">
        <f t="shared" si="39"/>
        <v>920.63173213167477</v>
      </c>
      <c r="I229" s="22">
        <f t="shared" si="42"/>
        <v>6.5168770877650306E-4</v>
      </c>
      <c r="L229" s="19">
        <f t="shared" si="40"/>
        <v>12.817498180936362</v>
      </c>
      <c r="M229" s="19">
        <f t="shared" si="41"/>
        <v>8.3530060217814131E-3</v>
      </c>
      <c r="N229" s="19">
        <f t="shared" si="36"/>
        <v>8.3946992159300571E-5</v>
      </c>
      <c r="O229" s="19">
        <f t="shared" si="43"/>
        <v>6.3254660757662458E-3</v>
      </c>
    </row>
    <row r="230" spans="1:15" x14ac:dyDescent="0.25">
      <c r="A230" s="32">
        <v>0.19000020623207092</v>
      </c>
      <c r="B230" s="1">
        <v>62.794092159441981</v>
      </c>
      <c r="C230" s="34">
        <v>1.1481744153321534</v>
      </c>
      <c r="D230">
        <v>228</v>
      </c>
      <c r="E230" s="13">
        <f t="shared" si="35"/>
        <v>79.310219077612828</v>
      </c>
      <c r="F230" s="13">
        <f t="shared" si="37"/>
        <v>920.68978092238717</v>
      </c>
      <c r="G230" s="13">
        <f t="shared" si="38"/>
        <v>4.9788120312769024E-2</v>
      </c>
      <c r="H230" s="5">
        <f t="shared" si="39"/>
        <v>920.6399928020744</v>
      </c>
      <c r="I230" s="22">
        <f t="shared" si="42"/>
        <v>6.2737041074853179E-4</v>
      </c>
      <c r="L230" s="19">
        <f t="shared" si="40"/>
        <v>12.817400085475368</v>
      </c>
      <c r="M230" s="19">
        <f t="shared" si="41"/>
        <v>8.0412575563529477E-3</v>
      </c>
      <c r="N230" s="19">
        <f t="shared" si="36"/>
        <v>8.0814073492696537E-5</v>
      </c>
      <c r="O230" s="19">
        <f t="shared" si="43"/>
        <v>6.0889127795970633E-3</v>
      </c>
    </row>
    <row r="231" spans="1:15" x14ac:dyDescent="0.25">
      <c r="A231" s="32">
        <v>0.19100020825862885</v>
      </c>
      <c r="B231" s="1">
        <v>61.180222317831046</v>
      </c>
      <c r="C231" s="34">
        <v>1.1453411603157686</v>
      </c>
      <c r="D231">
        <v>229</v>
      </c>
      <c r="E231" s="13">
        <f t="shared" si="35"/>
        <v>79.304130164833282</v>
      </c>
      <c r="F231" s="13">
        <f t="shared" si="37"/>
        <v>920.69586983516672</v>
      </c>
      <c r="G231" s="13">
        <f t="shared" si="38"/>
        <v>4.7925540470146188E-2</v>
      </c>
      <c r="H231" s="5">
        <f t="shared" si="39"/>
        <v>920.64794429469657</v>
      </c>
      <c r="I231" s="22">
        <f t="shared" si="42"/>
        <v>6.0396091877104488E-4</v>
      </c>
      <c r="L231" s="19">
        <f t="shared" si="40"/>
        <v>12.81730566150048</v>
      </c>
      <c r="M231" s="19">
        <f t="shared" si="41"/>
        <v>7.7411517034891453E-3</v>
      </c>
      <c r="N231" s="19">
        <f t="shared" si="36"/>
        <v>7.7798148080066021E-5</v>
      </c>
      <c r="O231" s="19">
        <f t="shared" si="43"/>
        <v>5.8612287388283037E-3</v>
      </c>
    </row>
    <row r="232" spans="1:15" x14ac:dyDescent="0.25">
      <c r="A232" s="32">
        <v>0.19200021028518677</v>
      </c>
      <c r="B232" s="1">
        <v>59.609634408481469</v>
      </c>
      <c r="C232" s="34">
        <v>1.1425114053135692</v>
      </c>
      <c r="D232">
        <v>230</v>
      </c>
      <c r="E232" s="13">
        <f t="shared" si="35"/>
        <v>79.298268936094473</v>
      </c>
      <c r="F232" s="13">
        <f t="shared" si="37"/>
        <v>920.70173106390553</v>
      </c>
      <c r="G232" s="13">
        <f t="shared" si="38"/>
        <v>4.6132843566283555E-2</v>
      </c>
      <c r="H232" s="5">
        <f t="shared" si="39"/>
        <v>920.65559822033924</v>
      </c>
      <c r="I232" s="22">
        <f t="shared" si="42"/>
        <v>5.814253120767659E-4</v>
      </c>
      <c r="L232" s="19">
        <f t="shared" si="40"/>
        <v>12.817214771133472</v>
      </c>
      <c r="M232" s="19">
        <f t="shared" si="41"/>
        <v>7.4522530982612124E-3</v>
      </c>
      <c r="N232" s="19">
        <f t="shared" si="36"/>
        <v>7.4894841744166385E-5</v>
      </c>
      <c r="O232" s="19">
        <f t="shared" si="43"/>
        <v>5.6420797374273834E-3</v>
      </c>
    </row>
    <row r="233" spans="1:15" x14ac:dyDescent="0.25">
      <c r="A233" s="32">
        <v>0.19300021231174469</v>
      </c>
      <c r="B233" s="1">
        <v>58.081302775790945</v>
      </c>
      <c r="C233" s="34">
        <v>1.1396851503255563</v>
      </c>
      <c r="D233">
        <v>231</v>
      </c>
      <c r="E233" s="13">
        <f t="shared" si="35"/>
        <v>79.29262685635706</v>
      </c>
      <c r="F233" s="13">
        <f t="shared" si="37"/>
        <v>920.70737314364294</v>
      </c>
      <c r="G233" s="13">
        <f t="shared" si="38"/>
        <v>4.4407392726952821E-2</v>
      </c>
      <c r="H233" s="5">
        <f t="shared" si="39"/>
        <v>920.66296575091599</v>
      </c>
      <c r="I233" s="22">
        <f t="shared" si="42"/>
        <v>5.5973093962061638E-4</v>
      </c>
      <c r="L233" s="19">
        <f t="shared" si="40"/>
        <v>12.817127281707872</v>
      </c>
      <c r="M233" s="19">
        <f t="shared" si="41"/>
        <v>7.1741426966273839E-3</v>
      </c>
      <c r="N233" s="19">
        <f t="shared" si="36"/>
        <v>7.2099944236181379E-5</v>
      </c>
      <c r="O233" s="19">
        <f t="shared" si="43"/>
        <v>5.4311442759494982E-3</v>
      </c>
    </row>
    <row r="234" spans="1:15" x14ac:dyDescent="0.25">
      <c r="A234" s="32">
        <v>0.19400021433830261</v>
      </c>
      <c r="B234" s="1">
        <v>56.59421583325274</v>
      </c>
      <c r="C234" s="34">
        <v>1.1368623953517287</v>
      </c>
      <c r="D234">
        <v>232</v>
      </c>
      <c r="E234" s="13">
        <f t="shared" si="35"/>
        <v>79.287195712081143</v>
      </c>
      <c r="F234" s="13">
        <f t="shared" si="37"/>
        <v>920.71280428791886</v>
      </c>
      <c r="G234" s="13">
        <f t="shared" si="38"/>
        <v>4.2746651664060664E-2</v>
      </c>
      <c r="H234" s="5">
        <f t="shared" si="39"/>
        <v>920.6700576362548</v>
      </c>
      <c r="I234" s="22">
        <f t="shared" si="42"/>
        <v>5.3884637238305153E-4</v>
      </c>
      <c r="L234" s="19">
        <f t="shared" si="40"/>
        <v>12.817043065569475</v>
      </c>
      <c r="M234" s="19">
        <f t="shared" si="41"/>
        <v>6.9064171605594579E-3</v>
      </c>
      <c r="N234" s="19">
        <f t="shared" si="36"/>
        <v>6.9409403063880326E-5</v>
      </c>
      <c r="O234" s="19">
        <f t="shared" si="43"/>
        <v>5.2281130787353736E-3</v>
      </c>
    </row>
    <row r="235" spans="1:15" x14ac:dyDescent="0.25">
      <c r="A235" s="32">
        <v>0.19500021636486053</v>
      </c>
      <c r="B235" s="1">
        <v>55.147376548820588</v>
      </c>
      <c r="C235" s="34">
        <v>1.1340431403920874</v>
      </c>
      <c r="D235">
        <v>233</v>
      </c>
      <c r="E235" s="13">
        <f t="shared" si="35"/>
        <v>79.281967599002428</v>
      </c>
      <c r="F235" s="13">
        <f t="shared" si="37"/>
        <v>920.71803240099757</v>
      </c>
      <c r="G235" s="13">
        <f t="shared" si="38"/>
        <v>4.1148180759478237E-2</v>
      </c>
      <c r="H235" s="5">
        <f t="shared" si="39"/>
        <v>920.67688422023809</v>
      </c>
      <c r="I235" s="22">
        <f t="shared" si="42"/>
        <v>5.1874135748430309E-4</v>
      </c>
      <c r="L235" s="19">
        <f t="shared" si="40"/>
        <v>12.816961999884672</v>
      </c>
      <c r="M235" s="19">
        <f t="shared" si="41"/>
        <v>6.648688266644903E-3</v>
      </c>
      <c r="N235" s="19">
        <f t="shared" si="36"/>
        <v>6.6819317554922542E-5</v>
      </c>
      <c r="O235" s="19">
        <f t="shared" si="43"/>
        <v>5.0326886209079817E-3</v>
      </c>
    </row>
    <row r="236" spans="1:15" x14ac:dyDescent="0.25">
      <c r="A236" s="32">
        <v>0.19600021839141846</v>
      </c>
      <c r="B236" s="1">
        <v>53.73980287598966</v>
      </c>
      <c r="C236" s="34">
        <v>1.1312273854466319</v>
      </c>
      <c r="D236">
        <v>234</v>
      </c>
      <c r="E236" s="13">
        <f t="shared" si="35"/>
        <v>79.276934910381556</v>
      </c>
      <c r="F236" s="13">
        <f t="shared" si="37"/>
        <v>920.72306508961844</v>
      </c>
      <c r="G236" s="13">
        <f t="shared" si="38"/>
        <v>3.9609633307009062E-2</v>
      </c>
      <c r="H236" s="5">
        <f t="shared" si="39"/>
        <v>920.68345545631144</v>
      </c>
      <c r="I236" s="22">
        <f t="shared" si="42"/>
        <v>4.9938677403163435E-4</v>
      </c>
      <c r="L236" s="19">
        <f t="shared" si="40"/>
        <v>12.816883966456301</v>
      </c>
      <c r="M236" s="19">
        <f t="shared" si="41"/>
        <v>6.4005823371463899E-3</v>
      </c>
      <c r="N236" s="19">
        <f t="shared" si="36"/>
        <v>6.4325933144759873E-5</v>
      </c>
      <c r="O236" s="19">
        <f t="shared" si="43"/>
        <v>4.8445846742183494E-3</v>
      </c>
    </row>
    <row r="237" spans="1:15" x14ac:dyDescent="0.25">
      <c r="A237" s="32">
        <v>0.19700022041797638</v>
      </c>
      <c r="B237" s="1">
        <v>52.370528133164534</v>
      </c>
      <c r="C237" s="34">
        <v>1.1284151305153625</v>
      </c>
      <c r="D237">
        <v>235</v>
      </c>
      <c r="E237" s="13">
        <f t="shared" si="35"/>
        <v>79.272090325707381</v>
      </c>
      <c r="F237" s="13">
        <f t="shared" si="37"/>
        <v>920.72790967429262</v>
      </c>
      <c r="G237" s="13">
        <f t="shared" si="38"/>
        <v>3.8128751905446734E-2</v>
      </c>
      <c r="H237" s="5">
        <f t="shared" si="39"/>
        <v>920.68978092238717</v>
      </c>
      <c r="I237" s="22">
        <f t="shared" si="42"/>
        <v>4.8075459063016848E-4</v>
      </c>
      <c r="L237" s="19">
        <f t="shared" si="40"/>
        <v>12.816808851546654</v>
      </c>
      <c r="M237" s="19">
        <f t="shared" si="41"/>
        <v>6.1617396926104311E-3</v>
      </c>
      <c r="N237" s="19">
        <f t="shared" si="36"/>
        <v>6.192563588125477E-5</v>
      </c>
      <c r="O237" s="19">
        <f t="shared" si="43"/>
        <v>4.6635258710029095E-3</v>
      </c>
    </row>
    <row r="238" spans="1:15" x14ac:dyDescent="0.25">
      <c r="A238" s="32">
        <v>0.1980002224445343</v>
      </c>
      <c r="B238" s="1">
        <v>51.038601334010558</v>
      </c>
      <c r="C238" s="34">
        <v>1.1256063755982788</v>
      </c>
      <c r="D238">
        <v>236</v>
      </c>
      <c r="E238" s="13">
        <f t="shared" si="35"/>
        <v>79.267426799836358</v>
      </c>
      <c r="F238" s="13">
        <f t="shared" si="37"/>
        <v>920.73257320016364</v>
      </c>
      <c r="G238" s="13">
        <f t="shared" si="38"/>
        <v>3.6703364996924392E-2</v>
      </c>
      <c r="H238" s="5">
        <f t="shared" si="39"/>
        <v>920.69586983516672</v>
      </c>
      <c r="I238" s="22">
        <f t="shared" si="42"/>
        <v>4.6281782450216161E-4</v>
      </c>
      <c r="L238" s="19">
        <f t="shared" si="40"/>
        <v>12.816736545707395</v>
      </c>
      <c r="M238" s="19">
        <f t="shared" si="41"/>
        <v>5.9318141253016463E-3</v>
      </c>
      <c r="N238" s="19">
        <f t="shared" si="36"/>
        <v>5.9614947138242336E-5</v>
      </c>
      <c r="O238" s="19">
        <f t="shared" si="43"/>
        <v>4.4892472855339012E-3</v>
      </c>
    </row>
    <row r="239" spans="1:15" x14ac:dyDescent="0.25">
      <c r="A239" s="32">
        <v>0.19900022447109222</v>
      </c>
      <c r="B239" s="1">
        <v>49.743087471264438</v>
      </c>
      <c r="C239" s="34">
        <v>1.1228011206953814</v>
      </c>
      <c r="D239">
        <v>237</v>
      </c>
      <c r="E239" s="13">
        <f t="shared" si="35"/>
        <v>79.262937552550852</v>
      </c>
      <c r="F239" s="13">
        <f t="shared" si="37"/>
        <v>920.73706244744915</v>
      </c>
      <c r="G239" s="13">
        <f t="shared" si="38"/>
        <v>3.5331383543621087E-2</v>
      </c>
      <c r="H239" s="5">
        <f t="shared" si="39"/>
        <v>920.70173106390553</v>
      </c>
      <c r="I239" s="22">
        <f t="shared" si="42"/>
        <v>4.4555050214392731E-4</v>
      </c>
      <c r="L239" s="19">
        <f t="shared" si="40"/>
        <v>12.81666694361612</v>
      </c>
      <c r="M239" s="19">
        <f t="shared" si="41"/>
        <v>5.7104723925396365E-3</v>
      </c>
      <c r="N239" s="19">
        <f t="shared" si="36"/>
        <v>5.7390518528377399E-5</v>
      </c>
      <c r="O239" s="19">
        <f t="shared" si="43"/>
        <v>4.3214940319121252E-3</v>
      </c>
    </row>
    <row r="240" spans="1:15" x14ac:dyDescent="0.25">
      <c r="A240" s="32">
        <v>0.20000022649765015</v>
      </c>
      <c r="B240" s="1">
        <v>48.483067756578855</v>
      </c>
      <c r="C240" s="34">
        <v>1.1199993658066694</v>
      </c>
      <c r="D240">
        <v>238</v>
      </c>
      <c r="E240" s="13">
        <f t="shared" si="35"/>
        <v>79.258616058518896</v>
      </c>
      <c r="F240" s="13">
        <f t="shared" si="37"/>
        <v>920.7413839414811</v>
      </c>
      <c r="G240" s="13">
        <f t="shared" si="38"/>
        <v>3.4010797838163853E-2</v>
      </c>
      <c r="H240" s="5">
        <f t="shared" si="39"/>
        <v>920.70737314364294</v>
      </c>
      <c r="I240" s="22">
        <f t="shared" si="42"/>
        <v>4.2892762147704198E-4</v>
      </c>
      <c r="L240" s="19">
        <f t="shared" si="40"/>
        <v>12.816599943919242</v>
      </c>
      <c r="M240" s="19">
        <f t="shared" si="41"/>
        <v>5.49739372936807E-3</v>
      </c>
      <c r="N240" s="19">
        <f t="shared" si="36"/>
        <v>5.5249127009826537E-5</v>
      </c>
      <c r="O240" s="19">
        <f t="shared" si="43"/>
        <v>4.1600208779781775E-3</v>
      </c>
    </row>
    <row r="241" spans="1:15" x14ac:dyDescent="0.25">
      <c r="A241" s="32">
        <v>0.20100022852420807</v>
      </c>
      <c r="B241" s="1">
        <v>47.257639818698806</v>
      </c>
      <c r="C241" s="34">
        <v>1.1172011109321436</v>
      </c>
      <c r="D241">
        <v>239</v>
      </c>
      <c r="E241" s="13">
        <f t="shared" si="35"/>
        <v>79.254456037640921</v>
      </c>
      <c r="F241" s="13">
        <f t="shared" si="37"/>
        <v>920.74554396235908</v>
      </c>
      <c r="G241" s="13">
        <f t="shared" si="38"/>
        <v>3.2739674440222188E-2</v>
      </c>
      <c r="H241" s="5">
        <f t="shared" si="39"/>
        <v>920.71280428791886</v>
      </c>
      <c r="I241" s="22">
        <f t="shared" si="42"/>
        <v>4.1292511541347882E-4</v>
      </c>
      <c r="L241" s="19">
        <f t="shared" si="40"/>
        <v>12.816535449080963</v>
      </c>
      <c r="M241" s="19">
        <f t="shared" si="41"/>
        <v>5.2922693795126987E-3</v>
      </c>
      <c r="N241" s="19">
        <f t="shared" si="36"/>
        <v>5.3187670177035073E-5</v>
      </c>
      <c r="O241" s="19">
        <f t="shared" si="43"/>
        <v>4.0045918744008521E-3</v>
      </c>
    </row>
    <row r="242" spans="1:15" x14ac:dyDescent="0.25">
      <c r="A242" s="32">
        <v>0.20200023055076599</v>
      </c>
      <c r="B242" s="1">
        <v>46.065917862593494</v>
      </c>
      <c r="C242" s="34">
        <v>1.1144063560718036</v>
      </c>
      <c r="D242">
        <v>240</v>
      </c>
      <c r="E242" s="13">
        <f t="shared" si="35"/>
        <v>79.250451445766544</v>
      </c>
      <c r="F242" s="13">
        <f t="shared" si="37"/>
        <v>920.74954855423346</v>
      </c>
      <c r="G242" s="13">
        <f t="shared" si="38"/>
        <v>3.1516153235884303E-2</v>
      </c>
      <c r="H242" s="5">
        <f t="shared" si="39"/>
        <v>920.71803240099757</v>
      </c>
      <c r="I242" s="22">
        <f t="shared" si="42"/>
        <v>3.9751981680486017E-4</v>
      </c>
      <c r="L242" s="19">
        <f t="shared" si="40"/>
        <v>12.816473365238153</v>
      </c>
      <c r="M242" s="19">
        <f t="shared" si="41"/>
        <v>5.09480214423384E-3</v>
      </c>
      <c r="N242" s="19">
        <f t="shared" si="36"/>
        <v>5.1203161730017932E-5</v>
      </c>
      <c r="O242" s="19">
        <f t="shared" si="43"/>
        <v>3.8549799984267915E-3</v>
      </c>
    </row>
    <row r="243" spans="1:15" x14ac:dyDescent="0.25">
      <c r="A243" s="32">
        <v>0.20300023257732391</v>
      </c>
      <c r="B243" s="1">
        <v>44.907032791596883</v>
      </c>
      <c r="C243" s="34">
        <v>1.1116151012256497</v>
      </c>
      <c r="D243">
        <v>241</v>
      </c>
      <c r="E243" s="13">
        <f t="shared" si="35"/>
        <v>79.246596465768107</v>
      </c>
      <c r="F243" s="13">
        <f t="shared" si="37"/>
        <v>920.75340353423189</v>
      </c>
      <c r="G243" s="13">
        <f t="shared" si="38"/>
        <v>3.0338444613448701E-2</v>
      </c>
      <c r="H243" s="5">
        <f t="shared" si="39"/>
        <v>920.72306508961844</v>
      </c>
      <c r="I243" s="22">
        <f t="shared" si="42"/>
        <v>3.8268942470776312E-4</v>
      </c>
      <c r="L243" s="19">
        <f t="shared" si="40"/>
        <v>12.816413602060782</v>
      </c>
      <c r="M243" s="19">
        <f t="shared" si="41"/>
        <v>4.9047059481893912E-3</v>
      </c>
      <c r="N243" s="19">
        <f t="shared" si="36"/>
        <v>4.9292727115624047E-5</v>
      </c>
      <c r="O243" s="19">
        <f t="shared" si="43"/>
        <v>3.7109668117076295E-3</v>
      </c>
    </row>
    <row r="244" spans="1:15" x14ac:dyDescent="0.25">
      <c r="A244" s="32">
        <v>0.20400023460388184</v>
      </c>
      <c r="B244" s="1">
        <v>43.780132294961419</v>
      </c>
      <c r="C244" s="34">
        <v>1.1088273463936815</v>
      </c>
      <c r="D244">
        <v>242</v>
      </c>
      <c r="E244" s="13">
        <f t="shared" si="35"/>
        <v>79.242885498956412</v>
      </c>
      <c r="F244" s="13">
        <f t="shared" si="37"/>
        <v>920.75711450104359</v>
      </c>
      <c r="G244" s="13">
        <f t="shared" si="38"/>
        <v>2.9204826750969914E-2</v>
      </c>
      <c r="H244" s="5">
        <f t="shared" si="39"/>
        <v>920.72790967429262</v>
      </c>
      <c r="I244" s="22">
        <f t="shared" si="42"/>
        <v>3.6841247191761001E-4</v>
      </c>
      <c r="L244" s="19">
        <f t="shared" si="40"/>
        <v>12.816356072617776</v>
      </c>
      <c r="M244" s="19">
        <f t="shared" si="41"/>
        <v>4.7217054216893871E-3</v>
      </c>
      <c r="N244" s="19">
        <f t="shared" si="36"/>
        <v>4.745359933155946E-5</v>
      </c>
      <c r="O244" s="19">
        <f t="shared" si="43"/>
        <v>3.572342131426915E-3</v>
      </c>
    </row>
    <row r="245" spans="1:15" x14ac:dyDescent="0.25">
      <c r="A245" s="32">
        <v>0.20500023663043976</v>
      </c>
      <c r="B245" s="1">
        <v>42.684380902994519</v>
      </c>
      <c r="C245" s="34">
        <v>1.1060430915758994</v>
      </c>
      <c r="D245">
        <v>243</v>
      </c>
      <c r="E245" s="13">
        <f t="shared" si="35"/>
        <v>79.239313156825006</v>
      </c>
      <c r="F245" s="13">
        <f t="shared" si="37"/>
        <v>920.76068684317499</v>
      </c>
      <c r="G245" s="13">
        <f t="shared" si="38"/>
        <v>2.8113643011351996E-2</v>
      </c>
      <c r="H245" s="5">
        <f t="shared" si="39"/>
        <v>920.73257320016364</v>
      </c>
      <c r="I245" s="22">
        <f t="shared" si="42"/>
        <v>3.5466829372856641E-4</v>
      </c>
      <c r="L245" s="19">
        <f t="shared" si="40"/>
        <v>12.816300693248056</v>
      </c>
      <c r="M245" s="19">
        <f t="shared" si="41"/>
        <v>4.545535498786531E-3</v>
      </c>
      <c r="N245" s="19">
        <f t="shared" si="36"/>
        <v>4.5683114891503784E-5</v>
      </c>
      <c r="O245" s="19">
        <f t="shared" si="43"/>
        <v>3.4389037145237302E-3</v>
      </c>
    </row>
    <row r="246" spans="1:15" x14ac:dyDescent="0.25">
      <c r="A246" s="32">
        <v>0.20600023865699768</v>
      </c>
      <c r="B246" s="1">
        <v>41.61896001191603</v>
      </c>
      <c r="C246" s="34">
        <v>1.1032623367723031</v>
      </c>
      <c r="D246">
        <v>244</v>
      </c>
      <c r="E246" s="13">
        <f t="shared" si="35"/>
        <v>79.235874253110524</v>
      </c>
      <c r="F246" s="13">
        <f t="shared" si="37"/>
        <v>920.76412574688948</v>
      </c>
      <c r="G246" s="13">
        <f t="shared" si="38"/>
        <v>2.7063299440328592E-2</v>
      </c>
      <c r="H246" s="5">
        <f t="shared" si="39"/>
        <v>920.73706244744915</v>
      </c>
      <c r="I246" s="22">
        <f t="shared" si="42"/>
        <v>3.4143699787035761E-4</v>
      </c>
      <c r="L246" s="19">
        <f t="shared" si="40"/>
        <v>12.816247383436542</v>
      </c>
      <c r="M246" s="19">
        <f t="shared" si="41"/>
        <v>4.3759410305643986E-3</v>
      </c>
      <c r="N246" s="19">
        <f t="shared" si="36"/>
        <v>4.3978709940439842E-5</v>
      </c>
      <c r="O246" s="19">
        <f t="shared" si="43"/>
        <v>3.310456954121977E-3</v>
      </c>
    </row>
    <row r="247" spans="1:15" x14ac:dyDescent="0.25">
      <c r="A247" s="32">
        <v>0.2070002406835556</v>
      </c>
      <c r="B247" s="1">
        <v>40.583067880245821</v>
      </c>
      <c r="C247" s="34">
        <v>1.1004850819828929</v>
      </c>
      <c r="D247">
        <v>245</v>
      </c>
      <c r="E247" s="13">
        <f t="shared" si="35"/>
        <v>79.232563796156455</v>
      </c>
      <c r="F247" s="13">
        <f t="shared" si="37"/>
        <v>920.76743620384354</v>
      </c>
      <c r="G247" s="13">
        <f t="shared" si="38"/>
        <v>2.605226236244107E-2</v>
      </c>
      <c r="H247" s="5">
        <f t="shared" si="39"/>
        <v>920.7413839414811</v>
      </c>
      <c r="I247" s="22">
        <f t="shared" si="42"/>
        <v>3.2869943556932589E-4</v>
      </c>
      <c r="L247" s="19">
        <f t="shared" si="40"/>
        <v>12.816196065694912</v>
      </c>
      <c r="M247" s="19">
        <f t="shared" si="41"/>
        <v>4.212676412939733E-3</v>
      </c>
      <c r="N247" s="19">
        <f t="shared" si="36"/>
        <v>4.2337916517309893E-5</v>
      </c>
      <c r="O247" s="19">
        <f t="shared" si="43"/>
        <v>3.1868145878813968E-3</v>
      </c>
    </row>
    <row r="248" spans="1:15" x14ac:dyDescent="0.25">
      <c r="A248" s="32">
        <v>0.20800024271011353</v>
      </c>
      <c r="B248" s="1">
        <v>39.575919599063823</v>
      </c>
      <c r="C248" s="34">
        <v>1.0977113272076684</v>
      </c>
      <c r="D248">
        <v>246</v>
      </c>
      <c r="E248" s="13">
        <f t="shared" si="35"/>
        <v>79.229376981568521</v>
      </c>
      <c r="F248" s="13">
        <f t="shared" si="37"/>
        <v>920.77062301843148</v>
      </c>
      <c r="G248" s="13">
        <f t="shared" si="38"/>
        <v>2.5079056072399908E-2</v>
      </c>
      <c r="H248" s="5">
        <f t="shared" si="39"/>
        <v>920.74554396235908</v>
      </c>
      <c r="I248" s="22">
        <f t="shared" si="42"/>
        <v>3.1643717370905835E-4</v>
      </c>
      <c r="L248" s="19">
        <f t="shared" si="40"/>
        <v>12.816146665446986</v>
      </c>
      <c r="M248" s="19">
        <f t="shared" si="41"/>
        <v>4.0555052286548165E-3</v>
      </c>
      <c r="N248" s="19">
        <f t="shared" si="36"/>
        <v>4.0758358959114283E-5</v>
      </c>
      <c r="O248" s="19">
        <f t="shared" si="43"/>
        <v>3.0677964177656682E-3</v>
      </c>
    </row>
    <row r="249" spans="1:15" x14ac:dyDescent="0.25">
      <c r="A249" s="32">
        <v>0.20900024473667145</v>
      </c>
      <c r="B249" s="1">
        <v>38.596747037655369</v>
      </c>
      <c r="C249" s="34">
        <v>1.09494107244663</v>
      </c>
      <c r="D249">
        <v>247</v>
      </c>
      <c r="E249" s="13">
        <f t="shared" si="35"/>
        <v>79.22630918515074</v>
      </c>
      <c r="F249" s="13">
        <f t="shared" si="37"/>
        <v>920.77369081484926</v>
      </c>
      <c r="G249" s="13">
        <f t="shared" si="38"/>
        <v>2.4142260615803934E-2</v>
      </c>
      <c r="H249" s="5">
        <f t="shared" si="39"/>
        <v>920.74954855423346</v>
      </c>
      <c r="I249" s="22">
        <f t="shared" si="42"/>
        <v>3.046324680222826E-4</v>
      </c>
      <c r="L249" s="19">
        <f t="shared" si="40"/>
        <v>12.816099110918477</v>
      </c>
      <c r="M249" s="19">
        <f t="shared" si="41"/>
        <v>3.9041999025772774E-3</v>
      </c>
      <c r="N249" s="19">
        <f t="shared" si="36"/>
        <v>3.9237750439458097E-5</v>
      </c>
      <c r="O249" s="19">
        <f t="shared" si="43"/>
        <v>2.9532290406439768E-3</v>
      </c>
    </row>
    <row r="250" spans="1:15" x14ac:dyDescent="0.25">
      <c r="A250" s="32">
        <v>0.21000024676322937</v>
      </c>
      <c r="B250" s="1">
        <v>37.644798766529256</v>
      </c>
      <c r="C250" s="34">
        <v>1.0921743176997774</v>
      </c>
      <c r="D250">
        <v>248</v>
      </c>
      <c r="E250" s="13">
        <f t="shared" si="35"/>
        <v>79.22335595611014</v>
      </c>
      <c r="F250" s="13">
        <f t="shared" si="37"/>
        <v>920.77664404388986</v>
      </c>
      <c r="G250" s="13">
        <f t="shared" si="38"/>
        <v>2.3240509657966868E-2</v>
      </c>
      <c r="H250" s="5">
        <f t="shared" si="39"/>
        <v>920.75340353423189</v>
      </c>
      <c r="I250" s="22">
        <f t="shared" si="42"/>
        <v>2.9326823730538374E-4</v>
      </c>
      <c r="L250" s="19">
        <f t="shared" si="40"/>
        <v>12.816053333030998</v>
      </c>
      <c r="M250" s="19">
        <f t="shared" si="41"/>
        <v>3.7585413701897892E-3</v>
      </c>
      <c r="N250" s="19">
        <f t="shared" si="36"/>
        <v>3.7773889638326175E-5</v>
      </c>
      <c r="O250" s="19">
        <f t="shared" si="43"/>
        <v>2.8429455894307381E-3</v>
      </c>
    </row>
    <row r="251" spans="1:15" x14ac:dyDescent="0.25">
      <c r="A251" s="32">
        <v>0.21100024878978729</v>
      </c>
      <c r="B251" s="1">
        <v>36.719339959559235</v>
      </c>
      <c r="C251" s="34">
        <v>1.0894110629671108</v>
      </c>
      <c r="D251">
        <v>249</v>
      </c>
      <c r="E251" s="13">
        <f t="shared" si="35"/>
        <v>79.220513010520676</v>
      </c>
      <c r="F251" s="13">
        <f t="shared" si="37"/>
        <v>920.77948698947932</v>
      </c>
      <c r="G251" s="13">
        <f t="shared" si="38"/>
        <v>2.2372488435735249E-2</v>
      </c>
      <c r="H251" s="5">
        <f t="shared" si="39"/>
        <v>920.75711450104359</v>
      </c>
      <c r="I251" s="22">
        <f t="shared" si="42"/>
        <v>2.8232803859760865E-4</v>
      </c>
      <c r="L251" s="19">
        <f t="shared" si="40"/>
        <v>12.816009265300108</v>
      </c>
      <c r="M251" s="19">
        <f t="shared" si="41"/>
        <v>3.6183187585209593E-3</v>
      </c>
      <c r="N251" s="19">
        <f t="shared" si="36"/>
        <v>3.6364657537979461E-5</v>
      </c>
      <c r="O251" s="19">
        <f t="shared" si="43"/>
        <v>2.7367854843300989E-3</v>
      </c>
    </row>
    <row r="252" spans="1:15" x14ac:dyDescent="0.25">
      <c r="A252" s="32">
        <v>0.21200025081634521</v>
      </c>
      <c r="B252" s="1">
        <v>35.819652276803211</v>
      </c>
      <c r="C252" s="34">
        <v>1.08665130824863</v>
      </c>
      <c r="D252">
        <v>250</v>
      </c>
      <c r="E252" s="13">
        <f t="shared" si="35"/>
        <v>79.217776225036346</v>
      </c>
      <c r="F252" s="13">
        <f t="shared" si="37"/>
        <v>920.78222377496365</v>
      </c>
      <c r="G252" s="13">
        <f t="shared" si="38"/>
        <v>2.1536931788659786E-2</v>
      </c>
      <c r="H252" s="5">
        <f t="shared" si="39"/>
        <v>920.76068684317499</v>
      </c>
      <c r="I252" s="22">
        <f t="shared" si="42"/>
        <v>2.7179604328517296E-4</v>
      </c>
      <c r="L252" s="19">
        <f t="shared" si="40"/>
        <v>12.815966843737296</v>
      </c>
      <c r="M252" s="19">
        <f t="shared" si="41"/>
        <v>3.4833290790017638E-3</v>
      </c>
      <c r="N252" s="19">
        <f t="shared" si="36"/>
        <v>3.5008014337423177E-5</v>
      </c>
      <c r="O252" s="19">
        <f t="shared" si="43"/>
        <v>2.6345941935716106E-3</v>
      </c>
    </row>
    <row r="253" spans="1:15" x14ac:dyDescent="0.25">
      <c r="A253" s="32">
        <v>0.21300025284290314</v>
      </c>
      <c r="B253" s="1">
        <v>34.945033729576181</v>
      </c>
      <c r="C253" s="34">
        <v>1.0838950535443352</v>
      </c>
      <c r="D253">
        <v>251</v>
      </c>
      <c r="E253" s="13">
        <f t="shared" si="35"/>
        <v>79.215141630842822</v>
      </c>
      <c r="F253" s="13">
        <f t="shared" si="37"/>
        <v>920.78485836915718</v>
      </c>
      <c r="G253" s="13">
        <f t="shared" si="38"/>
        <v>2.0732622267701117E-2</v>
      </c>
      <c r="H253" s="5">
        <f t="shared" si="39"/>
        <v>920.76412574688948</v>
      </c>
      <c r="I253" s="22">
        <f t="shared" si="42"/>
        <v>2.6165701411298844E-4</v>
      </c>
      <c r="L253" s="19">
        <f t="shared" si="40"/>
        <v>12.815926006755687</v>
      </c>
      <c r="M253" s="19">
        <f t="shared" si="41"/>
        <v>3.3533769320206884E-3</v>
      </c>
      <c r="N253" s="19">
        <f t="shared" si="36"/>
        <v>3.3701996485113739E-5</v>
      </c>
      <c r="O253" s="19">
        <f t="shared" si="43"/>
        <v>2.5362230035699293E-3</v>
      </c>
    </row>
    <row r="254" spans="1:15" x14ac:dyDescent="0.25">
      <c r="A254" s="32">
        <v>0.21400025486946106</v>
      </c>
      <c r="B254" s="1">
        <v>34.094798529408159</v>
      </c>
      <c r="C254" s="34">
        <v>1.0811422988542263</v>
      </c>
      <c r="D254">
        <v>252</v>
      </c>
      <c r="E254" s="13">
        <f t="shared" si="35"/>
        <v>79.212605407839305</v>
      </c>
      <c r="F254" s="13">
        <f t="shared" si="37"/>
        <v>920.78739459216069</v>
      </c>
      <c r="G254" s="13">
        <f t="shared" si="38"/>
        <v>1.9958388317149911E-2</v>
      </c>
      <c r="H254" s="5">
        <f t="shared" si="39"/>
        <v>920.76743620384354</v>
      </c>
      <c r="I254" s="22">
        <f t="shared" si="42"/>
        <v>2.5189628305474678E-4</v>
      </c>
      <c r="L254" s="19">
        <f t="shared" si="40"/>
        <v>12.81588669507936</v>
      </c>
      <c r="M254" s="19">
        <f t="shared" si="41"/>
        <v>3.2282742225412738E-3</v>
      </c>
      <c r="N254" s="19">
        <f t="shared" si="36"/>
        <v>3.2444713822576965E-5</v>
      </c>
      <c r="O254" s="19">
        <f t="shared" si="43"/>
        <v>2.4415287979181557E-3</v>
      </c>
    </row>
    <row r="255" spans="1:15" x14ac:dyDescent="0.25">
      <c r="A255" s="32">
        <v>0.21500025689601898</v>
      </c>
      <c r="B255" s="1">
        <v>33.268276922163999</v>
      </c>
      <c r="C255" s="34">
        <v>1.0783930441783034</v>
      </c>
      <c r="D255">
        <v>253</v>
      </c>
      <c r="E255" s="13">
        <f t="shared" si="35"/>
        <v>79.210163879041374</v>
      </c>
      <c r="F255" s="13">
        <f t="shared" si="37"/>
        <v>920.78983612095863</v>
      </c>
      <c r="G255" s="13">
        <f t="shared" si="38"/>
        <v>1.9213102527146475E-2</v>
      </c>
      <c r="H255" s="5">
        <f t="shared" si="39"/>
        <v>920.77062301843148</v>
      </c>
      <c r="I255" s="22">
        <f t="shared" si="42"/>
        <v>2.4249973001322608E-4</v>
      </c>
      <c r="L255" s="19">
        <f t="shared" si="40"/>
        <v>12.815848851656124</v>
      </c>
      <c r="M255" s="19">
        <f t="shared" si="41"/>
        <v>3.1078398864169236E-3</v>
      </c>
      <c r="N255" s="19">
        <f t="shared" si="36"/>
        <v>3.1234346835051774E-5</v>
      </c>
      <c r="O255" s="19">
        <f t="shared" si="43"/>
        <v>2.3503738448863048E-3</v>
      </c>
    </row>
    <row r="256" spans="1:15" x14ac:dyDescent="0.25">
      <c r="A256" s="32">
        <v>0.2160002589225769</v>
      </c>
      <c r="B256" s="1">
        <v>32.464815008735982</v>
      </c>
      <c r="C256" s="34">
        <v>1.0756472895165663</v>
      </c>
      <c r="D256">
        <v>254</v>
      </c>
      <c r="E256" s="13">
        <f t="shared" si="35"/>
        <v>79.207813505196441</v>
      </c>
      <c r="F256" s="13">
        <f t="shared" si="37"/>
        <v>920.79218649480356</v>
      </c>
      <c r="G256" s="13">
        <f t="shared" si="38"/>
        <v>1.8495679954298794E-2</v>
      </c>
      <c r="H256" s="5">
        <f t="shared" si="39"/>
        <v>920.77369081484926</v>
      </c>
      <c r="I256" s="22">
        <f t="shared" si="42"/>
        <v>2.3345376232375859E-4</v>
      </c>
      <c r="L256" s="19">
        <f t="shared" si="40"/>
        <v>12.815812421573664</v>
      </c>
      <c r="M256" s="19">
        <f t="shared" si="41"/>
        <v>2.9918996270519313E-3</v>
      </c>
      <c r="N256" s="19">
        <f t="shared" si="36"/>
        <v>3.0069144006050763E-5</v>
      </c>
      <c r="O256" s="19">
        <f t="shared" si="43"/>
        <v>2.2626255931575559E-3</v>
      </c>
    </row>
    <row r="257" spans="1:15" x14ac:dyDescent="0.25">
      <c r="A257" s="32">
        <v>0.21700026094913483</v>
      </c>
      <c r="B257" s="1">
        <v>31.683774553701671</v>
      </c>
      <c r="C257" s="34">
        <v>1.0729050348690152</v>
      </c>
      <c r="D257">
        <v>255</v>
      </c>
      <c r="E257" s="13">
        <f t="shared" si="35"/>
        <v>79.205550879603265</v>
      </c>
      <c r="F257" s="13">
        <f t="shared" si="37"/>
        <v>920.79444912039673</v>
      </c>
      <c r="G257" s="13">
        <f t="shared" si="38"/>
        <v>1.7805076506874684E-2</v>
      </c>
      <c r="H257" s="5">
        <f t="shared" si="39"/>
        <v>920.77664404388986</v>
      </c>
      <c r="I257" s="22">
        <f t="shared" si="42"/>
        <v>2.2474529502055837E-4</v>
      </c>
      <c r="L257" s="19">
        <f t="shared" si="40"/>
        <v>12.815777351978808</v>
      </c>
      <c r="M257" s="19">
        <f t="shared" si="41"/>
        <v>2.8802856618882675E-3</v>
      </c>
      <c r="N257" s="19">
        <f t="shared" si="36"/>
        <v>2.8947419271396768E-5</v>
      </c>
      <c r="O257" s="19">
        <f t="shared" si="43"/>
        <v>2.1781564754371333E-3</v>
      </c>
    </row>
    <row r="258" spans="1:15" x14ac:dyDescent="0.25">
      <c r="A258" s="32">
        <v>0.21800026297569275</v>
      </c>
      <c r="B258" s="1">
        <v>30.924532782917957</v>
      </c>
      <c r="C258" s="34">
        <v>1.07016628023565</v>
      </c>
      <c r="D258">
        <v>256</v>
      </c>
      <c r="E258" s="13">
        <f t="shared" ref="E258:E262" si="44">$B$3-F258</f>
        <v>79.203372723127814</v>
      </c>
      <c r="F258" s="13">
        <f t="shared" si="37"/>
        <v>920.79662727687219</v>
      </c>
      <c r="G258" s="13">
        <f t="shared" si="38"/>
        <v>1.7140287392862774E-2</v>
      </c>
      <c r="H258" s="5">
        <f t="shared" si="39"/>
        <v>920.77948698947932</v>
      </c>
      <c r="I258" s="22">
        <f t="shared" si="42"/>
        <v>2.1636173184824621E-4</v>
      </c>
      <c r="L258" s="19">
        <f t="shared" si="40"/>
        <v>12.815743591999931</v>
      </c>
      <c r="M258" s="19">
        <f t="shared" si="41"/>
        <v>2.7728364784881687E-3</v>
      </c>
      <c r="N258" s="19">
        <f t="shared" ref="N258:N262" si="45">1-(1-$B$7)^M258</f>
        <v>2.7867549568294514E-5</v>
      </c>
      <c r="O258" s="19">
        <f t="shared" si="43"/>
        <v>2.0968437195709763E-3</v>
      </c>
    </row>
    <row r="259" spans="1:15" x14ac:dyDescent="0.25">
      <c r="A259" s="32">
        <v>0.21900026500225067</v>
      </c>
      <c r="B259" s="1">
        <v>30.186482171476261</v>
      </c>
      <c r="C259" s="34">
        <v>1.0674310256164707</v>
      </c>
      <c r="D259">
        <v>257</v>
      </c>
      <c r="E259" s="13">
        <f t="shared" si="44"/>
        <v>79.201275879408286</v>
      </c>
      <c r="F259" s="13">
        <f t="shared" ref="F259:F262" si="46">F258+O258</f>
        <v>920.79872412059171</v>
      </c>
      <c r="G259" s="13">
        <f t="shared" ref="G259:G262" si="47">F259-H259</f>
        <v>1.6500345628060131E-2</v>
      </c>
      <c r="H259" s="5">
        <f t="shared" ref="H259:H262" si="48">H258+O251</f>
        <v>920.78222377496365</v>
      </c>
      <c r="I259" s="22">
        <f t="shared" si="42"/>
        <v>2.0829094698628119E-4</v>
      </c>
      <c r="L259" s="19">
        <f t="shared" ref="L259:L262" si="49">$B$5*(1-B$2)*((1-H259/$B$3)*(1-$B$6)+$B$6)</f>
        <v>12.815711092672306</v>
      </c>
      <c r="M259" s="19">
        <f t="shared" ref="M259:M262" si="50">I259*L259</f>
        <v>2.6693965997953029E-3</v>
      </c>
      <c r="N259" s="19">
        <f t="shared" si="45"/>
        <v>2.6827972477661E-5</v>
      </c>
      <c r="O259" s="19">
        <f t="shared" si="43"/>
        <v>2.0185691670139812E-3</v>
      </c>
    </row>
    <row r="260" spans="1:15" x14ac:dyDescent="0.25">
      <c r="A260" s="32">
        <v>0.22000026702880859</v>
      </c>
      <c r="B260" s="1">
        <v>29.469030222953013</v>
      </c>
      <c r="C260" s="34">
        <v>1.0646992710114773</v>
      </c>
      <c r="D260">
        <v>258</v>
      </c>
      <c r="E260" s="13">
        <f t="shared" si="44"/>
        <v>79.199257310241251</v>
      </c>
      <c r="F260" s="13">
        <f t="shared" si="46"/>
        <v>920.80074268975875</v>
      </c>
      <c r="G260" s="13">
        <f t="shared" si="47"/>
        <v>1.5884320601571744E-2</v>
      </c>
      <c r="H260" s="5">
        <f t="shared" si="48"/>
        <v>920.78485836915718</v>
      </c>
      <c r="I260" s="22">
        <f t="shared" ref="I260:I262" si="51">G260/(E260+G260)</f>
        <v>2.0052126745661339E-4</v>
      </c>
      <c r="L260" s="19">
        <f t="shared" si="49"/>
        <v>12.815679806866259</v>
      </c>
      <c r="M260" s="19">
        <f t="shared" si="50"/>
        <v>2.5698163581909486E-3</v>
      </c>
      <c r="N260" s="19">
        <f t="shared" si="45"/>
        <v>2.5827183954163502E-5</v>
      </c>
      <c r="O260" s="19">
        <f t="shared" ref="O260:O262" si="52">E260*(1-B$2)*N260</f>
        <v>1.9432190982054927E-3</v>
      </c>
    </row>
    <row r="261" spans="1:15" x14ac:dyDescent="0.25">
      <c r="A261" s="32">
        <v>0.22100026905536652</v>
      </c>
      <c r="B261" s="1">
        <v>28.771599240979171</v>
      </c>
      <c r="C261" s="34">
        <v>1.0619710164206699</v>
      </c>
      <c r="D261">
        <v>259</v>
      </c>
      <c r="E261" s="13">
        <f t="shared" si="44"/>
        <v>79.197314091143085</v>
      </c>
      <c r="F261" s="13">
        <f t="shared" si="46"/>
        <v>920.80268590885692</v>
      </c>
      <c r="G261" s="13">
        <f t="shared" si="47"/>
        <v>1.5291316696220747E-2</v>
      </c>
      <c r="H261" s="5">
        <f t="shared" si="48"/>
        <v>920.78739459216069</v>
      </c>
      <c r="I261" s="22">
        <f t="shared" si="51"/>
        <v>1.9304145618605591E-4</v>
      </c>
      <c r="L261" s="19">
        <f t="shared" si="49"/>
        <v>12.815649689218091</v>
      </c>
      <c r="M261" s="19">
        <f t="shared" si="50"/>
        <v>2.473951677977035E-3</v>
      </c>
      <c r="N261" s="19">
        <f t="shared" si="45"/>
        <v>2.4863736141189641E-5</v>
      </c>
      <c r="O261" s="19">
        <f t="shared" si="52"/>
        <v>1.8706840646204466E-3</v>
      </c>
    </row>
    <row r="262" spans="1:15" x14ac:dyDescent="0.25">
      <c r="A262" s="32">
        <v>0.22200027108192444</v>
      </c>
      <c r="B262" s="1">
        <v>28.093626094148924</v>
      </c>
      <c r="C262" s="34">
        <v>1.0592462618440484</v>
      </c>
      <c r="D262">
        <v>260</v>
      </c>
      <c r="E262" s="14">
        <f t="shared" si="44"/>
        <v>79.195443407078415</v>
      </c>
      <c r="F262" s="14">
        <f t="shared" si="46"/>
        <v>920.80455659292159</v>
      </c>
      <c r="G262" s="14">
        <f t="shared" si="47"/>
        <v>1.4720471962959891E-2</v>
      </c>
      <c r="H262" s="31">
        <f t="shared" si="48"/>
        <v>920.78983612095863</v>
      </c>
      <c r="I262" s="23">
        <f t="shared" si="51"/>
        <v>1.8584069571474346E-4</v>
      </c>
      <c r="L262" s="20">
        <f t="shared" si="49"/>
        <v>12.815620696063615</v>
      </c>
      <c r="M262" s="20">
        <f t="shared" si="50"/>
        <v>2.3816638661727269E-3</v>
      </c>
      <c r="N262" s="20">
        <f t="shared" si="45"/>
        <v>2.3936235268973149E-5</v>
      </c>
      <c r="O262" s="20">
        <f t="shared" si="52"/>
        <v>1.8008587273413534E-3</v>
      </c>
    </row>
    <row r="263" spans="1:15" x14ac:dyDescent="0.25">
      <c r="A263" s="32">
        <v>0.22300027310848236</v>
      </c>
      <c r="B263" s="1">
        <v>27.434561975189126</v>
      </c>
      <c r="C263" s="34">
        <v>1.0565250072816128</v>
      </c>
      <c r="E263" s="32"/>
      <c r="F263" s="1"/>
    </row>
    <row r="264" spans="1:15" x14ac:dyDescent="0.25">
      <c r="A264" s="32">
        <v>0.22400027513504028</v>
      </c>
      <c r="B264" s="1">
        <v>26.793872155146477</v>
      </c>
      <c r="C264" s="34">
        <v>1.0538072527333631</v>
      </c>
      <c r="E264" s="32"/>
      <c r="F264" s="1"/>
    </row>
    <row r="265" spans="1:15" x14ac:dyDescent="0.25">
      <c r="A265" s="32">
        <v>0.22500027716159821</v>
      </c>
      <c r="B265" s="1">
        <v>26.171035733489649</v>
      </c>
      <c r="C265" s="34">
        <v>1.0510929981992994</v>
      </c>
      <c r="E265" s="32"/>
      <c r="F265" s="1"/>
    </row>
    <row r="266" spans="1:15" x14ac:dyDescent="0.25">
      <c r="A266" s="32">
        <v>0.22600027918815613</v>
      </c>
      <c r="B266" s="1">
        <v>25.565545384800451</v>
      </c>
      <c r="C266" s="34">
        <v>1.0483822436794215</v>
      </c>
      <c r="E266" s="32"/>
      <c r="F266" s="1"/>
    </row>
    <row r="267" spans="1:15" x14ac:dyDescent="0.25">
      <c r="A267" s="32">
        <v>0.22700028121471405</v>
      </c>
      <c r="B267" s="1">
        <v>24.976907102777474</v>
      </c>
      <c r="C267" s="34">
        <v>1.0456749891737296</v>
      </c>
      <c r="E267" s="32"/>
      <c r="F267" s="1"/>
    </row>
    <row r="268" spans="1:15" x14ac:dyDescent="0.25">
      <c r="A268" s="32">
        <v>0.22800028324127197</v>
      </c>
      <c r="B268" s="1">
        <v>24.404639942271618</v>
      </c>
      <c r="C268" s="34">
        <v>1.0429712346822235</v>
      </c>
      <c r="E268" s="32"/>
      <c r="F268" s="1"/>
    </row>
    <row r="269" spans="1:15" x14ac:dyDescent="0.25">
      <c r="A269" s="32">
        <v>0.2290002852678299</v>
      </c>
      <c r="B269" s="1">
        <v>23.848275759777543</v>
      </c>
      <c r="C269" s="34">
        <v>1.0402709802049035</v>
      </c>
      <c r="E269" s="32"/>
      <c r="F269" s="1"/>
    </row>
    <row r="270" spans="1:15" x14ac:dyDescent="0.25">
      <c r="A270" s="32">
        <v>0.23000028729438782</v>
      </c>
      <c r="B270" s="1">
        <v>23.307358953123153</v>
      </c>
      <c r="C270" s="34">
        <v>1.0375742257417693</v>
      </c>
      <c r="E270" s="32"/>
      <c r="F270" s="1"/>
    </row>
    <row r="271" spans="1:15" x14ac:dyDescent="0.25">
      <c r="A271" s="32">
        <v>0.23100028932094574</v>
      </c>
      <c r="B271" s="1">
        <v>22.781446200794523</v>
      </c>
      <c r="C271" s="34">
        <v>1.0348809712928211</v>
      </c>
      <c r="E271" s="32"/>
      <c r="F271" s="1"/>
    </row>
    <row r="272" spans="1:15" x14ac:dyDescent="0.25">
      <c r="A272" s="32">
        <v>0.23200029134750366</v>
      </c>
      <c r="B272" s="1">
        <v>22.270106201355013</v>
      </c>
      <c r="C272" s="34">
        <v>1.0321912168580587</v>
      </c>
      <c r="E272" s="32"/>
      <c r="F272" s="1"/>
    </row>
    <row r="273" spans="1:6" x14ac:dyDescent="0.25">
      <c r="A273" s="32">
        <v>0.23300029337406158</v>
      </c>
      <c r="B273" s="1">
        <v>21.772919413474025</v>
      </c>
      <c r="C273" s="34">
        <v>1.0295049624374824</v>
      </c>
      <c r="E273" s="32"/>
      <c r="F273" s="1"/>
    </row>
    <row r="274" spans="1:6" x14ac:dyDescent="0.25">
      <c r="A274" s="32">
        <v>0.23400029540061951</v>
      </c>
      <c r="B274" s="1">
        <v>21.289477796883464</v>
      </c>
      <c r="C274" s="34">
        <v>1.0268222080310918</v>
      </c>
      <c r="E274" s="32"/>
      <c r="F274" s="1"/>
    </row>
    <row r="275" spans="1:6" x14ac:dyDescent="0.25">
      <c r="A275" s="32">
        <v>0.23500029742717743</v>
      </c>
      <c r="B275" s="1">
        <v>20.81938455469901</v>
      </c>
      <c r="C275" s="34">
        <v>1.0241429536388873</v>
      </c>
      <c r="E275" s="32"/>
      <c r="F275" s="1"/>
    </row>
    <row r="276" spans="1:6" x14ac:dyDescent="0.25">
      <c r="A276" s="32">
        <v>0.23600029945373535</v>
      </c>
      <c r="B276" s="1">
        <v>20.36225387746158</v>
      </c>
      <c r="C276" s="34">
        <v>1.0214671992608686</v>
      </c>
      <c r="E276" s="32"/>
      <c r="F276" s="1"/>
    </row>
    <row r="277" spans="1:6" x14ac:dyDescent="0.25">
      <c r="A277" s="32">
        <v>0.23700030148029327</v>
      </c>
      <c r="B277" s="1">
        <v>19.917710689140279</v>
      </c>
      <c r="C277" s="34">
        <v>1.0187949448970359</v>
      </c>
      <c r="E277" s="32"/>
      <c r="F277" s="1"/>
    </row>
    <row r="278" spans="1:6" x14ac:dyDescent="0.25">
      <c r="A278" s="32">
        <v>0.2380003035068512</v>
      </c>
      <c r="B278" s="1">
        <v>19.485390395401765</v>
      </c>
      <c r="C278" s="34">
        <v>1.0161261905473891</v>
      </c>
      <c r="E278" s="32"/>
      <c r="F278" s="1"/>
    </row>
    <row r="279" spans="1:6" x14ac:dyDescent="0.25">
      <c r="A279" s="32">
        <v>0.23900030553340912</v>
      </c>
      <c r="B279" s="1">
        <v>19.064938634490314</v>
      </c>
      <c r="C279" s="34">
        <v>1.0134609362119282</v>
      </c>
      <c r="E279" s="32"/>
      <c r="F279" s="1"/>
    </row>
    <row r="280" spans="1:6" x14ac:dyDescent="0.25">
      <c r="A280" s="32">
        <v>0.24000030755996704</v>
      </c>
      <c r="B280" s="1">
        <v>18.656011030842823</v>
      </c>
      <c r="C280" s="34">
        <v>1.0107991818906532</v>
      </c>
      <c r="E280" s="32"/>
      <c r="F280" s="1"/>
    </row>
    <row r="281" spans="1:6" x14ac:dyDescent="0.25">
      <c r="A281" s="32">
        <v>0.24100030958652496</v>
      </c>
      <c r="B281" s="1">
        <v>18.258272951663152</v>
      </c>
      <c r="C281" s="34">
        <v>1.0081409275835642</v>
      </c>
      <c r="E281" s="32"/>
      <c r="F281" s="1"/>
    </row>
    <row r="282" spans="1:6" x14ac:dyDescent="0.25">
      <c r="A282" s="32">
        <v>0.24200031161308289</v>
      </c>
      <c r="B282" s="1">
        <v>17.87139926671227</v>
      </c>
      <c r="C282" s="34">
        <v>1.005486173290661</v>
      </c>
      <c r="E282" s="32"/>
      <c r="F282" s="1"/>
    </row>
    <row r="283" spans="1:6" x14ac:dyDescent="0.25">
      <c r="A283" s="32">
        <v>0.24300031363964081</v>
      </c>
      <c r="B283" s="1">
        <v>17.495074111418653</v>
      </c>
      <c r="C283" s="34">
        <v>1.0028349190119439</v>
      </c>
      <c r="E283" s="32"/>
      <c r="F283" s="1"/>
    </row>
    <row r="284" spans="1:6" x14ac:dyDescent="0.25">
      <c r="A284" s="32">
        <v>0.24400031566619873</v>
      </c>
      <c r="B284" s="1">
        <v>17.12899065344838</v>
      </c>
      <c r="C284" s="34">
        <v>1.0001871647474125</v>
      </c>
      <c r="E284" s="32"/>
      <c r="F284" s="1"/>
    </row>
    <row r="285" spans="1:6" x14ac:dyDescent="0.25">
      <c r="A285" s="32">
        <v>0.24500031769275665</v>
      </c>
      <c r="B285" s="1">
        <v>16.772850862940579</v>
      </c>
      <c r="C285" s="34">
        <v>0.99754291049706723</v>
      </c>
      <c r="E285" s="32"/>
      <c r="F285" s="1"/>
    </row>
    <row r="286" spans="1:6" x14ac:dyDescent="0.25">
      <c r="A286" s="32">
        <v>0.24600031971931458</v>
      </c>
      <c r="B286" s="1">
        <v>16.426365286394564</v>
      </c>
      <c r="C286" s="34">
        <v>0.99490215626090772</v>
      </c>
      <c r="E286" s="32"/>
      <c r="F286" s="1"/>
    </row>
    <row r="287" spans="1:6" x14ac:dyDescent="0.25">
      <c r="A287" s="32">
        <v>0.2470003217458725</v>
      </c>
      <c r="B287" s="1">
        <v>16.089252824437615</v>
      </c>
      <c r="C287" s="34">
        <v>0.99226490203893425</v>
      </c>
      <c r="E287" s="32"/>
      <c r="F287" s="1"/>
    </row>
    <row r="288" spans="1:6" x14ac:dyDescent="0.25">
      <c r="A288" s="32">
        <v>0.24800032377243042</v>
      </c>
      <c r="B288" s="1">
        <v>15.761240513468525</v>
      </c>
      <c r="C288" s="34">
        <v>0.98963114783114658</v>
      </c>
      <c r="E288" s="32"/>
      <c r="F288" s="1"/>
    </row>
    <row r="289" spans="1:6" x14ac:dyDescent="0.25">
      <c r="A289" s="32">
        <v>0.24900032579898834</v>
      </c>
      <c r="B289" s="1">
        <v>15.442063311234234</v>
      </c>
      <c r="C289" s="34">
        <v>0.98700089363754495</v>
      </c>
      <c r="E289" s="32"/>
      <c r="F289" s="1"/>
    </row>
    <row r="290" spans="1:6" x14ac:dyDescent="0.25">
      <c r="A290" s="32">
        <v>0.25000032782554626</v>
      </c>
      <c r="B290" s="1">
        <v>15.131463886495579</v>
      </c>
      <c r="C290" s="34">
        <v>0.98437413945812913</v>
      </c>
      <c r="E290" s="32"/>
      <c r="F290" s="1"/>
    </row>
    <row r="291" spans="1:6" x14ac:dyDescent="0.25">
      <c r="A291" s="32">
        <v>0.25100031495094299</v>
      </c>
      <c r="B291" s="1">
        <v>14.829196856050428</v>
      </c>
      <c r="C291" s="34">
        <v>0.98175092435627653</v>
      </c>
      <c r="E291" s="32"/>
      <c r="F291" s="1"/>
    </row>
    <row r="292" spans="1:6" x14ac:dyDescent="0.25">
      <c r="A292" s="32">
        <v>0.25200030207633972</v>
      </c>
      <c r="B292" s="1">
        <v>14.535015015040361</v>
      </c>
      <c r="C292" s="34">
        <v>0.9791312091643023</v>
      </c>
      <c r="E292" s="32"/>
      <c r="F292" s="1"/>
    </row>
    <row r="293" spans="1:6" x14ac:dyDescent="0.25">
      <c r="A293" s="32">
        <v>0.25300028920173645</v>
      </c>
      <c r="B293" s="1">
        <v>14.248682954127384</v>
      </c>
      <c r="C293" s="34">
        <v>0.97651499388220642</v>
      </c>
      <c r="E293" s="32"/>
      <c r="F293" s="1"/>
    </row>
    <row r="294" spans="1:6" x14ac:dyDescent="0.25">
      <c r="A294" s="32">
        <v>0.25400027632713318</v>
      </c>
      <c r="B294" s="1">
        <v>13.969972173951978</v>
      </c>
      <c r="C294" s="34">
        <v>0.97390227850998889</v>
      </c>
      <c r="E294" s="32"/>
      <c r="F294" s="1"/>
    </row>
    <row r="295" spans="1:6" x14ac:dyDescent="0.25">
      <c r="A295" s="32">
        <v>0.25500026345252991</v>
      </c>
      <c r="B295" s="1">
        <v>13.698660895340463</v>
      </c>
      <c r="C295" s="34">
        <v>0.97129306304764973</v>
      </c>
      <c r="E295" s="32"/>
      <c r="F295" s="1"/>
    </row>
    <row r="296" spans="1:6" x14ac:dyDescent="0.25">
      <c r="A296" s="32">
        <v>0.25600025057792664</v>
      </c>
      <c r="B296" s="1">
        <v>13.43453387357734</v>
      </c>
      <c r="C296" s="34">
        <v>0.96868734749518892</v>
      </c>
      <c r="E296" s="32"/>
      <c r="F296" s="1"/>
    </row>
    <row r="297" spans="1:6" x14ac:dyDescent="0.25">
      <c r="A297" s="32">
        <v>0.25700023770332336</v>
      </c>
      <c r="B297" s="1">
        <v>13.177382216830203</v>
      </c>
      <c r="C297" s="34">
        <v>0.96608513185260647</v>
      </c>
      <c r="E297" s="32"/>
      <c r="F297" s="1"/>
    </row>
    <row r="298" spans="1:6" x14ac:dyDescent="0.25">
      <c r="A298" s="32">
        <v>0.25800022482872009</v>
      </c>
      <c r="B298" s="1">
        <v>12.927003208650515</v>
      </c>
      <c r="C298" s="34">
        <v>0.96348641611990238</v>
      </c>
      <c r="E298" s="32"/>
      <c r="F298" s="1"/>
    </row>
    <row r="299" spans="1:6" x14ac:dyDescent="0.25">
      <c r="A299" s="32">
        <v>0.25900021195411682</v>
      </c>
      <c r="B299" s="1">
        <v>12.683200134577284</v>
      </c>
      <c r="C299" s="34">
        <v>0.96089120029707664</v>
      </c>
      <c r="E299" s="32"/>
      <c r="F299" s="1"/>
    </row>
    <row r="300" spans="1:6" x14ac:dyDescent="0.25">
      <c r="A300" s="32">
        <v>0.26000019907951355</v>
      </c>
      <c r="B300" s="1">
        <v>12.445782112728185</v>
      </c>
      <c r="C300" s="34">
        <v>0.95829948438412926</v>
      </c>
      <c r="E300" s="32"/>
      <c r="F300" s="1"/>
    </row>
    <row r="301" spans="1:6" x14ac:dyDescent="0.25">
      <c r="A301" s="32">
        <v>0.26100018620491028</v>
      </c>
      <c r="B301" s="1">
        <v>12.214563928468593</v>
      </c>
      <c r="C301" s="34">
        <v>0.95571126838106024</v>
      </c>
      <c r="E301" s="32"/>
      <c r="F301" s="1"/>
    </row>
    <row r="302" spans="1:6" x14ac:dyDescent="0.25">
      <c r="A302" s="32">
        <v>0.26200017333030701</v>
      </c>
      <c r="B302" s="1">
        <v>11.989365872986566</v>
      </c>
      <c r="C302" s="34">
        <v>0.95312655228786958</v>
      </c>
      <c r="E302" s="32"/>
      <c r="F302" s="1"/>
    </row>
    <row r="303" spans="1:6" x14ac:dyDescent="0.25">
      <c r="A303" s="32">
        <v>0.26300016045570374</v>
      </c>
      <c r="B303" s="1">
        <v>11.770013585829091</v>
      </c>
      <c r="C303" s="34">
        <v>0.95054533610455727</v>
      </c>
      <c r="E303" s="32"/>
      <c r="F303" s="1"/>
    </row>
    <row r="304" spans="1:6" x14ac:dyDescent="0.25">
      <c r="A304" s="32">
        <v>0.26400014758110046</v>
      </c>
      <c r="B304" s="1">
        <v>11.556337901287279</v>
      </c>
      <c r="C304" s="34">
        <v>0.94796761983112332</v>
      </c>
      <c r="E304" s="32"/>
      <c r="F304" s="1"/>
    </row>
    <row r="305" spans="1:6" x14ac:dyDescent="0.25">
      <c r="A305" s="32">
        <v>0.26500013470649719</v>
      </c>
      <c r="B305" s="1">
        <v>11.348174698654788</v>
      </c>
      <c r="C305" s="34">
        <v>0.94539340346756773</v>
      </c>
      <c r="E305" s="32"/>
      <c r="F305" s="1"/>
    </row>
    <row r="306" spans="1:6" x14ac:dyDescent="0.25">
      <c r="A306" s="32">
        <v>0.26600012183189392</v>
      </c>
      <c r="B306" s="1">
        <v>11.145364756212414</v>
      </c>
      <c r="C306" s="34">
        <v>0.94282268701389049</v>
      </c>
      <c r="E306" s="32"/>
      <c r="F306" s="1"/>
    </row>
    <row r="307" spans="1:6" x14ac:dyDescent="0.25">
      <c r="A307" s="32">
        <v>0.26700010895729065</v>
      </c>
      <c r="B307" s="1">
        <v>10.947753608958212</v>
      </c>
      <c r="C307" s="34">
        <v>0.94025547047009161</v>
      </c>
      <c r="E307" s="32"/>
      <c r="F307" s="1"/>
    </row>
    <row r="308" spans="1:6" x14ac:dyDescent="0.25">
      <c r="A308" s="32">
        <v>0.26800009608268738</v>
      </c>
      <c r="B308" s="1">
        <v>10.755191409987022</v>
      </c>
      <c r="C308" s="34">
        <v>0.93769175383617109</v>
      </c>
      <c r="E308" s="32"/>
      <c r="F308" s="1"/>
    </row>
    <row r="309" spans="1:6" x14ac:dyDescent="0.25">
      <c r="A309" s="32">
        <v>0.26900008320808411</v>
      </c>
      <c r="B309" s="1">
        <v>10.567532795491834</v>
      </c>
      <c r="C309" s="34">
        <v>0.93513153711212893</v>
      </c>
      <c r="E309" s="32"/>
      <c r="F309" s="1"/>
    </row>
    <row r="310" spans="1:6" x14ac:dyDescent="0.25">
      <c r="A310" s="32">
        <v>0.27000007033348083</v>
      </c>
      <c r="B310" s="1">
        <v>10.384636753282576</v>
      </c>
      <c r="C310" s="34">
        <v>0.93257482029796512</v>
      </c>
      <c r="E310" s="32"/>
      <c r="F310" s="1"/>
    </row>
    <row r="311" spans="1:6" x14ac:dyDescent="0.25">
      <c r="A311" s="32">
        <v>0.27100005745887756</v>
      </c>
      <c r="B311" s="1">
        <v>10.206366494781141</v>
      </c>
      <c r="C311" s="34">
        <v>0.93002160339367967</v>
      </c>
      <c r="E311" s="32"/>
      <c r="F311" s="1"/>
    </row>
    <row r="312" spans="1:6" x14ac:dyDescent="0.25">
      <c r="A312" s="32">
        <v>0.27200004458427429</v>
      </c>
      <c r="B312" s="1">
        <v>10.032589330458167</v>
      </c>
      <c r="C312" s="34">
        <v>0.92747188639927258</v>
      </c>
      <c r="E312" s="32"/>
      <c r="F312" s="1"/>
    </row>
    <row r="313" spans="1:6" x14ac:dyDescent="0.25">
      <c r="A313" s="32">
        <v>0.27300003170967102</v>
      </c>
      <c r="B313" s="1">
        <v>9.8631765485906637</v>
      </c>
      <c r="C313" s="34">
        <v>0.92492566931474385</v>
      </c>
      <c r="E313" s="32"/>
      <c r="F313" s="1"/>
    </row>
    <row r="314" spans="1:6" x14ac:dyDescent="0.25">
      <c r="A314" s="32">
        <v>0.27400001883506775</v>
      </c>
      <c r="B314" s="1">
        <v>9.6980032973153776</v>
      </c>
      <c r="C314" s="34">
        <v>0.92238295214009347</v>
      </c>
      <c r="E314" s="32"/>
      <c r="F314" s="1"/>
    </row>
    <row r="315" spans="1:6" x14ac:dyDescent="0.25">
      <c r="A315" s="32">
        <v>0.27500000596046448</v>
      </c>
      <c r="B315" s="1">
        <v>9.5369484699051874</v>
      </c>
      <c r="C315" s="34">
        <v>0.91984373487532145</v>
      </c>
      <c r="E315" s="32"/>
      <c r="F315" s="1"/>
    </row>
    <row r="316" spans="1:6" x14ac:dyDescent="0.25">
      <c r="A316" s="32">
        <v>0.27599999308586121</v>
      </c>
      <c r="B316" s="1">
        <v>9.3798945931861173</v>
      </c>
      <c r="C316" s="34">
        <v>0.91730801752042779</v>
      </c>
      <c r="E316" s="32"/>
      <c r="F316" s="1"/>
    </row>
    <row r="317" spans="1:6" x14ac:dyDescent="0.25">
      <c r="A317" s="32">
        <v>0.27699998021125793</v>
      </c>
      <c r="B317" s="1">
        <v>9.2267277190346881</v>
      </c>
      <c r="C317" s="34">
        <v>0.91477580007541248</v>
      </c>
      <c r="E317" s="32"/>
      <c r="F317" s="1"/>
    </row>
    <row r="318" spans="1:6" x14ac:dyDescent="0.25">
      <c r="A318" s="32">
        <v>0.27799996733665466</v>
      </c>
      <c r="B318" s="1">
        <v>9.0773373189242399</v>
      </c>
      <c r="C318" s="34">
        <v>0.91224708254027553</v>
      </c>
      <c r="E318" s="32"/>
      <c r="F318" s="1"/>
    </row>
    <row r="319" spans="1:6" x14ac:dyDescent="0.25">
      <c r="A319" s="32">
        <v>0.27899995446205139</v>
      </c>
      <c r="B319" s="1">
        <v>8.931616181377672</v>
      </c>
      <c r="C319" s="34">
        <v>0.90972186491501694</v>
      </c>
      <c r="E319" s="32"/>
      <c r="F319" s="1"/>
    </row>
    <row r="320" spans="1:6" x14ac:dyDescent="0.25">
      <c r="A320" s="32">
        <v>0.27999994158744812</v>
      </c>
      <c r="B320" s="1">
        <v>8.7894603123469732</v>
      </c>
      <c r="C320" s="34">
        <v>0.90720014719963671</v>
      </c>
      <c r="E320" s="32"/>
      <c r="F320" s="1"/>
    </row>
    <row r="321" spans="1:6" x14ac:dyDescent="0.25">
      <c r="A321" s="32">
        <v>0.28099992871284485</v>
      </c>
      <c r="B321" s="1">
        <v>8.6507688383880872</v>
      </c>
      <c r="C321" s="34">
        <v>0.90468192939413483</v>
      </c>
      <c r="E321" s="32"/>
      <c r="F321" s="1"/>
    </row>
    <row r="322" spans="1:6" x14ac:dyDescent="0.25">
      <c r="A322" s="32">
        <v>0.28199991583824158</v>
      </c>
      <c r="B322" s="1">
        <v>8.5154439126060808</v>
      </c>
      <c r="C322" s="34">
        <v>0.90216721149851131</v>
      </c>
      <c r="E322" s="32"/>
      <c r="F322" s="1"/>
    </row>
    <row r="323" spans="1:6" x14ac:dyDescent="0.25">
      <c r="A323" s="32">
        <v>0.28299990296363831</v>
      </c>
      <c r="B323" s="1">
        <v>8.383390623264809</v>
      </c>
      <c r="C323" s="34">
        <v>0.89965599351276615</v>
      </c>
      <c r="E323" s="32"/>
      <c r="F323" s="1"/>
    </row>
    <row r="324" spans="1:6" x14ac:dyDescent="0.25">
      <c r="A324" s="32">
        <v>0.28399989008903503</v>
      </c>
      <c r="B324" s="1">
        <v>8.2545169050467635</v>
      </c>
      <c r="C324" s="34">
        <v>0.89714827543689935</v>
      </c>
      <c r="E324" s="32"/>
      <c r="F324" s="1"/>
    </row>
    <row r="325" spans="1:6" x14ac:dyDescent="0.25">
      <c r="A325" s="32">
        <v>0.28499987721443176</v>
      </c>
      <c r="B325" s="1">
        <v>8.128733452871904</v>
      </c>
      <c r="C325" s="34">
        <v>0.8946440572709109</v>
      </c>
      <c r="E325" s="32"/>
      <c r="F325" s="1"/>
    </row>
    <row r="326" spans="1:6" x14ac:dyDescent="0.25">
      <c r="A326" s="32">
        <v>0.28599986433982849</v>
      </c>
      <c r="B326" s="1">
        <v>8.0059536381886875</v>
      </c>
      <c r="C326" s="34">
        <v>0.89214333901480081</v>
      </c>
      <c r="E326" s="32"/>
      <c r="F326" s="1"/>
    </row>
    <row r="327" spans="1:6" x14ac:dyDescent="0.25">
      <c r="A327" s="32">
        <v>0.28699985146522522</v>
      </c>
      <c r="B327" s="1">
        <v>7.8860934277265571</v>
      </c>
      <c r="C327" s="34">
        <v>0.88964612066856907</v>
      </c>
      <c r="E327" s="32"/>
      <c r="F327" s="1"/>
    </row>
    <row r="328" spans="1:6" x14ac:dyDescent="0.25">
      <c r="A328" s="32">
        <v>0.28799983859062195</v>
      </c>
      <c r="B328" s="1">
        <v>7.769071304623159</v>
      </c>
      <c r="C328" s="34">
        <v>0.8871524022322157</v>
      </c>
      <c r="E328" s="32"/>
      <c r="F328" s="1"/>
    </row>
    <row r="329" spans="1:6" x14ac:dyDescent="0.25">
      <c r="A329" s="32">
        <v>0.28899982571601868</v>
      </c>
      <c r="B329" s="1">
        <v>7.6548081918274118</v>
      </c>
      <c r="C329" s="34">
        <v>0.88466218370574068</v>
      </c>
      <c r="E329" s="32"/>
      <c r="F329" s="1"/>
    </row>
    <row r="330" spans="1:6" x14ac:dyDescent="0.25">
      <c r="A330" s="32">
        <v>0.28999981284141541</v>
      </c>
      <c r="B330" s="1">
        <v>7.5432273778136345</v>
      </c>
      <c r="C330" s="34">
        <v>0.88217546508914402</v>
      </c>
      <c r="E330" s="32"/>
      <c r="F330" s="1"/>
    </row>
    <row r="331" spans="1:6" x14ac:dyDescent="0.25">
      <c r="A331" s="32">
        <v>0.29099979996681213</v>
      </c>
      <c r="B331" s="1">
        <v>7.4342544444448926</v>
      </c>
      <c r="C331" s="34">
        <v>0.87969224638242571</v>
      </c>
      <c r="E331" s="32"/>
      <c r="F331" s="1"/>
    </row>
    <row r="332" spans="1:6" x14ac:dyDescent="0.25">
      <c r="A332" s="32">
        <v>0.29199978709220886</v>
      </c>
      <c r="B332" s="1">
        <v>7.3278171969909165</v>
      </c>
      <c r="C332" s="34">
        <v>0.87721252758558577</v>
      </c>
      <c r="E332" s="32"/>
      <c r="F332" s="1"/>
    </row>
    <row r="333" spans="1:6" x14ac:dyDescent="0.25">
      <c r="A333" s="32">
        <v>0.29299977421760559</v>
      </c>
      <c r="B333" s="1">
        <v>7.2238455962247476</v>
      </c>
      <c r="C333" s="34">
        <v>0.87473630869862418</v>
      </c>
      <c r="E333" s="32"/>
      <c r="F333" s="1"/>
    </row>
    <row r="334" spans="1:6" x14ac:dyDescent="0.25">
      <c r="A334" s="32">
        <v>0.29399976134300232</v>
      </c>
      <c r="B334" s="1">
        <v>7.1222716925319443</v>
      </c>
      <c r="C334" s="34">
        <v>0.87226358972154094</v>
      </c>
      <c r="E334" s="32"/>
      <c r="F334" s="1"/>
    </row>
    <row r="335" spans="1:6" x14ac:dyDescent="0.25">
      <c r="A335" s="32">
        <v>0.29499974846839905</v>
      </c>
      <c r="B335" s="1">
        <v>7.0230295620301986</v>
      </c>
      <c r="C335" s="34">
        <v>0.86979437065433607</v>
      </c>
      <c r="E335" s="32"/>
      <c r="F335" s="1"/>
    </row>
    <row r="336" spans="1:6" x14ac:dyDescent="0.25">
      <c r="A336" s="32">
        <v>0.29599973559379578</v>
      </c>
      <c r="B336" s="1">
        <v>6.9260552445385617</v>
      </c>
      <c r="C336" s="34">
        <v>0.86732865149700955</v>
      </c>
      <c r="E336" s="32"/>
      <c r="F336" s="1"/>
    </row>
    <row r="337" spans="1:6" x14ac:dyDescent="0.25">
      <c r="A337" s="32">
        <v>0.2969997227191925</v>
      </c>
      <c r="B337" s="1">
        <v>6.8312866834647537</v>
      </c>
      <c r="C337" s="34">
        <v>0.86486643224956139</v>
      </c>
      <c r="E337" s="32"/>
      <c r="F337" s="1"/>
    </row>
    <row r="338" spans="1:6" x14ac:dyDescent="0.25">
      <c r="A338" s="32">
        <v>0.29799970984458923</v>
      </c>
      <c r="B338" s="1">
        <v>6.7386636674921814</v>
      </c>
      <c r="C338" s="34">
        <v>0.86240771291199159</v>
      </c>
      <c r="E338" s="32"/>
      <c r="F338" s="1"/>
    </row>
    <row r="339" spans="1:6" x14ac:dyDescent="0.25">
      <c r="A339" s="32">
        <v>0.29899969696998596</v>
      </c>
      <c r="B339" s="1">
        <v>6.6481277740157756</v>
      </c>
      <c r="C339" s="34">
        <v>0.85995249348430014</v>
      </c>
      <c r="E339" s="32"/>
      <c r="F339" s="1"/>
    </row>
    <row r="340" spans="1:6" x14ac:dyDescent="0.25">
      <c r="A340" s="32">
        <v>0.29999968409538269</v>
      </c>
      <c r="B340" s="1">
        <v>6.5596223142904009</v>
      </c>
      <c r="C340" s="34">
        <v>0.85750077396648705</v>
      </c>
      <c r="E340" s="32"/>
      <c r="F340" s="1"/>
    </row>
    <row r="341" spans="1:6" x14ac:dyDescent="0.25">
      <c r="E341" s="32"/>
      <c r="F341" s="1"/>
    </row>
    <row r="342" spans="1:6" x14ac:dyDescent="0.25">
      <c r="E342" s="32"/>
      <c r="F342" s="1"/>
    </row>
    <row r="343" spans="1:6" x14ac:dyDescent="0.25">
      <c r="E343" s="32"/>
      <c r="F343" s="1"/>
    </row>
    <row r="344" spans="1:6" x14ac:dyDescent="0.25">
      <c r="E344" s="32"/>
      <c r="F344" s="1"/>
    </row>
    <row r="345" spans="1:6" x14ac:dyDescent="0.25">
      <c r="E345" s="32"/>
      <c r="F345" s="1"/>
    </row>
    <row r="346" spans="1:6" x14ac:dyDescent="0.25">
      <c r="E346" s="32"/>
      <c r="F346" s="1"/>
    </row>
    <row r="347" spans="1:6" x14ac:dyDescent="0.25">
      <c r="E347" s="32"/>
      <c r="F347" s="1"/>
    </row>
    <row r="348" spans="1:6" x14ac:dyDescent="0.25">
      <c r="E348" s="32"/>
      <c r="F348" s="1"/>
    </row>
    <row r="349" spans="1:6" x14ac:dyDescent="0.25">
      <c r="E349" s="32"/>
      <c r="F349" s="1"/>
    </row>
    <row r="350" spans="1:6" x14ac:dyDescent="0.25">
      <c r="E350" s="32"/>
      <c r="F350" s="1"/>
    </row>
    <row r="351" spans="1:6" x14ac:dyDescent="0.25">
      <c r="E351" s="32"/>
      <c r="F351" s="1"/>
    </row>
    <row r="352" spans="1:6" x14ac:dyDescent="0.25">
      <c r="E352" s="32"/>
      <c r="F352" s="1"/>
    </row>
    <row r="353" spans="5:6" x14ac:dyDescent="0.25">
      <c r="E353" s="32"/>
      <c r="F353" s="1"/>
    </row>
    <row r="354" spans="5:6" x14ac:dyDescent="0.25">
      <c r="E354" s="32"/>
      <c r="F354" s="1"/>
    </row>
    <row r="355" spans="5:6" x14ac:dyDescent="0.25">
      <c r="E355" s="32"/>
      <c r="F355" s="1"/>
    </row>
    <row r="356" spans="5:6" x14ac:dyDescent="0.25">
      <c r="E356" s="32"/>
      <c r="F356" s="1"/>
    </row>
    <row r="357" spans="5:6" x14ac:dyDescent="0.25">
      <c r="E357" s="32"/>
      <c r="F357" s="1"/>
    </row>
    <row r="358" spans="5:6" x14ac:dyDescent="0.25">
      <c r="E358" s="32"/>
      <c r="F358" s="1"/>
    </row>
    <row r="359" spans="5:6" x14ac:dyDescent="0.25">
      <c r="E359" s="32"/>
      <c r="F359" s="1"/>
    </row>
    <row r="360" spans="5:6" x14ac:dyDescent="0.25">
      <c r="E360" s="32"/>
      <c r="F360" s="1"/>
    </row>
    <row r="361" spans="5:6" x14ac:dyDescent="0.25">
      <c r="E361" s="32"/>
      <c r="F361" s="1"/>
    </row>
    <row r="362" spans="5:6" x14ac:dyDescent="0.25">
      <c r="E362" s="32"/>
      <c r="F362" s="1"/>
    </row>
    <row r="363" spans="5:6" x14ac:dyDescent="0.25">
      <c r="E363" s="32"/>
      <c r="F363" s="1"/>
    </row>
    <row r="364" spans="5:6" x14ac:dyDescent="0.25">
      <c r="E364" s="32"/>
      <c r="F364" s="1"/>
    </row>
    <row r="365" spans="5:6" x14ac:dyDescent="0.25">
      <c r="E365" s="32"/>
      <c r="F365" s="1"/>
    </row>
    <row r="366" spans="5:6" x14ac:dyDescent="0.25">
      <c r="E366" s="32"/>
      <c r="F366" s="1"/>
    </row>
    <row r="367" spans="5:6" x14ac:dyDescent="0.25">
      <c r="E367" s="32"/>
      <c r="F367" s="1"/>
    </row>
    <row r="368" spans="5:6" x14ac:dyDescent="0.25">
      <c r="E368" s="32"/>
      <c r="F368" s="1"/>
    </row>
    <row r="369" spans="5:6" x14ac:dyDescent="0.25">
      <c r="E369" s="32"/>
      <c r="F369" s="1"/>
    </row>
    <row r="370" spans="5:6" x14ac:dyDescent="0.25">
      <c r="E370" s="32"/>
      <c r="F370" s="1"/>
    </row>
    <row r="371" spans="5:6" x14ac:dyDescent="0.25">
      <c r="E371" s="32"/>
      <c r="F371" s="1"/>
    </row>
    <row r="372" spans="5:6" x14ac:dyDescent="0.25">
      <c r="E372" s="32"/>
      <c r="F372" s="1"/>
    </row>
    <row r="373" spans="5:6" x14ac:dyDescent="0.25">
      <c r="E373" s="32"/>
      <c r="F373" s="1"/>
    </row>
    <row r="374" spans="5:6" x14ac:dyDescent="0.25">
      <c r="E374" s="32"/>
      <c r="F374" s="1"/>
    </row>
    <row r="375" spans="5:6" x14ac:dyDescent="0.25">
      <c r="E375" s="32"/>
      <c r="F375" s="1"/>
    </row>
    <row r="376" spans="5:6" x14ac:dyDescent="0.25">
      <c r="E376" s="32"/>
      <c r="F376" s="1"/>
    </row>
    <row r="377" spans="5:6" x14ac:dyDescent="0.25">
      <c r="E377" s="32"/>
      <c r="F377" s="1"/>
    </row>
    <row r="378" spans="5:6" x14ac:dyDescent="0.25">
      <c r="E378" s="32"/>
      <c r="F378" s="1"/>
    </row>
    <row r="379" spans="5:6" x14ac:dyDescent="0.25">
      <c r="E379" s="32"/>
      <c r="F379" s="1"/>
    </row>
    <row r="380" spans="5:6" x14ac:dyDescent="0.25">
      <c r="E380" s="32"/>
      <c r="F380" s="1"/>
    </row>
    <row r="381" spans="5:6" x14ac:dyDescent="0.25">
      <c r="E381" s="32"/>
      <c r="F381" s="1"/>
    </row>
    <row r="382" spans="5:6" x14ac:dyDescent="0.25">
      <c r="E382" s="32"/>
      <c r="F382" s="1"/>
    </row>
    <row r="383" spans="5:6" x14ac:dyDescent="0.25">
      <c r="E383" s="32"/>
      <c r="F383" s="1"/>
    </row>
    <row r="384" spans="5:6" x14ac:dyDescent="0.25">
      <c r="E384" s="32"/>
      <c r="F384" s="1"/>
    </row>
    <row r="385" spans="5:6" x14ac:dyDescent="0.25">
      <c r="E385" s="32"/>
      <c r="F385" s="1"/>
    </row>
    <row r="386" spans="5:6" x14ac:dyDescent="0.25">
      <c r="E386" s="32"/>
      <c r="F386" s="1"/>
    </row>
    <row r="387" spans="5:6" x14ac:dyDescent="0.25">
      <c r="E387" s="32"/>
      <c r="F387" s="1"/>
    </row>
    <row r="388" spans="5:6" x14ac:dyDescent="0.25">
      <c r="E388" s="32"/>
      <c r="F388" s="1"/>
    </row>
    <row r="389" spans="5:6" x14ac:dyDescent="0.25">
      <c r="E389" s="32"/>
      <c r="F389" s="1"/>
    </row>
    <row r="390" spans="5:6" x14ac:dyDescent="0.25">
      <c r="E390" s="32"/>
      <c r="F390" s="1"/>
    </row>
    <row r="391" spans="5:6" x14ac:dyDescent="0.25">
      <c r="E391" s="32"/>
      <c r="F391" s="1"/>
    </row>
    <row r="392" spans="5:6" x14ac:dyDescent="0.25">
      <c r="E392" s="32"/>
      <c r="F392" s="1"/>
    </row>
    <row r="393" spans="5:6" x14ac:dyDescent="0.25">
      <c r="E393" s="32"/>
      <c r="F393" s="1"/>
    </row>
    <row r="394" spans="5:6" x14ac:dyDescent="0.25">
      <c r="E394" s="32"/>
      <c r="F394" s="1"/>
    </row>
    <row r="395" spans="5:6" x14ac:dyDescent="0.25">
      <c r="E395" s="32"/>
      <c r="F395" s="1"/>
    </row>
    <row r="396" spans="5:6" x14ac:dyDescent="0.25">
      <c r="E396" s="32"/>
      <c r="F396" s="1"/>
    </row>
    <row r="397" spans="5:6" x14ac:dyDescent="0.25">
      <c r="E397" s="32"/>
      <c r="F397" s="1"/>
    </row>
    <row r="398" spans="5:6" x14ac:dyDescent="0.25">
      <c r="E398" s="32"/>
      <c r="F398" s="1"/>
    </row>
    <row r="399" spans="5:6" x14ac:dyDescent="0.25">
      <c r="E399" s="32"/>
      <c r="F399" s="1"/>
    </row>
    <row r="400" spans="5:6" x14ac:dyDescent="0.25">
      <c r="E400" s="32"/>
      <c r="F400" s="1"/>
    </row>
    <row r="401" spans="5:6" x14ac:dyDescent="0.25">
      <c r="E401" s="32"/>
      <c r="F401" s="1"/>
    </row>
    <row r="402" spans="5:6" x14ac:dyDescent="0.25">
      <c r="E402" s="32"/>
      <c r="F402" s="1"/>
    </row>
    <row r="403" spans="5:6" x14ac:dyDescent="0.25">
      <c r="E403" s="32"/>
      <c r="F403" s="1"/>
    </row>
    <row r="404" spans="5:6" x14ac:dyDescent="0.25">
      <c r="E404" s="32"/>
      <c r="F404" s="1"/>
    </row>
    <row r="405" spans="5:6" x14ac:dyDescent="0.25">
      <c r="E405" s="32"/>
      <c r="F405" s="1"/>
    </row>
    <row r="406" spans="5:6" x14ac:dyDescent="0.25">
      <c r="E406" s="32"/>
      <c r="F406" s="1"/>
    </row>
    <row r="407" spans="5:6" x14ac:dyDescent="0.25">
      <c r="E407" s="32"/>
      <c r="F407" s="1"/>
    </row>
    <row r="408" spans="5:6" x14ac:dyDescent="0.25">
      <c r="E408" s="32"/>
      <c r="F408" s="1"/>
    </row>
    <row r="409" spans="5:6" x14ac:dyDescent="0.25">
      <c r="E409" s="32"/>
      <c r="F409" s="1"/>
    </row>
    <row r="410" spans="5:6" x14ac:dyDescent="0.25">
      <c r="E410" s="32"/>
      <c r="F410" s="1"/>
    </row>
    <row r="411" spans="5:6" x14ac:dyDescent="0.25">
      <c r="E411" s="32"/>
      <c r="F411" s="1"/>
    </row>
    <row r="412" spans="5:6" x14ac:dyDescent="0.25">
      <c r="E412" s="32"/>
      <c r="F412" s="1"/>
    </row>
    <row r="413" spans="5:6" x14ac:dyDescent="0.25">
      <c r="E413" s="32"/>
      <c r="F413" s="1"/>
    </row>
    <row r="414" spans="5:6" x14ac:dyDescent="0.25">
      <c r="E414" s="32"/>
      <c r="F414" s="1"/>
    </row>
    <row r="415" spans="5:6" x14ac:dyDescent="0.25">
      <c r="E415" s="32"/>
      <c r="F415" s="1"/>
    </row>
    <row r="416" spans="5:6" x14ac:dyDescent="0.25">
      <c r="E416" s="32"/>
      <c r="F416" s="1"/>
    </row>
    <row r="417" spans="5:6" x14ac:dyDescent="0.25">
      <c r="E417" s="32"/>
      <c r="F417" s="1"/>
    </row>
    <row r="418" spans="5:6" x14ac:dyDescent="0.25">
      <c r="E418" s="32"/>
      <c r="F418" s="1"/>
    </row>
    <row r="419" spans="5:6" x14ac:dyDescent="0.25">
      <c r="E419" s="32"/>
      <c r="F419" s="1"/>
    </row>
    <row r="420" spans="5:6" x14ac:dyDescent="0.25">
      <c r="E420" s="32"/>
      <c r="F420" s="1"/>
    </row>
    <row r="421" spans="5:6" x14ac:dyDescent="0.25">
      <c r="E421" s="32"/>
      <c r="F421" s="1"/>
    </row>
    <row r="422" spans="5:6" x14ac:dyDescent="0.25">
      <c r="E422" s="32"/>
      <c r="F422" s="1"/>
    </row>
    <row r="423" spans="5:6" x14ac:dyDescent="0.25">
      <c r="E423" s="32"/>
      <c r="F423" s="1"/>
    </row>
    <row r="424" spans="5:6" x14ac:dyDescent="0.25">
      <c r="E424" s="32"/>
      <c r="F424" s="1"/>
    </row>
    <row r="425" spans="5:6" x14ac:dyDescent="0.25">
      <c r="E425" s="32"/>
      <c r="F425" s="1"/>
    </row>
    <row r="426" spans="5:6" x14ac:dyDescent="0.25">
      <c r="E426" s="32"/>
      <c r="F426" s="1"/>
    </row>
    <row r="427" spans="5:6" x14ac:dyDescent="0.25">
      <c r="E427" s="32"/>
      <c r="F427" s="1"/>
    </row>
    <row r="428" spans="5:6" x14ac:dyDescent="0.25">
      <c r="E428" s="32"/>
      <c r="F428" s="1"/>
    </row>
    <row r="429" spans="5:6" x14ac:dyDescent="0.25">
      <c r="E429" s="32"/>
      <c r="F429" s="1"/>
    </row>
    <row r="430" spans="5:6" x14ac:dyDescent="0.25">
      <c r="E430" s="32"/>
      <c r="F430" s="1"/>
    </row>
    <row r="431" spans="5:6" x14ac:dyDescent="0.25">
      <c r="E431" s="32"/>
      <c r="F431" s="1"/>
    </row>
    <row r="432" spans="5:6" x14ac:dyDescent="0.25">
      <c r="E432" s="32"/>
      <c r="F432" s="1"/>
    </row>
    <row r="433" spans="5:6" x14ac:dyDescent="0.25">
      <c r="E433" s="32"/>
      <c r="F433" s="1"/>
    </row>
    <row r="434" spans="5:6" x14ac:dyDescent="0.25">
      <c r="E434" s="32"/>
      <c r="F434" s="1"/>
    </row>
    <row r="435" spans="5:6" x14ac:dyDescent="0.25">
      <c r="E435" s="32"/>
      <c r="F435" s="1"/>
    </row>
    <row r="436" spans="5:6" x14ac:dyDescent="0.25">
      <c r="E436" s="32"/>
      <c r="F436" s="1"/>
    </row>
    <row r="437" spans="5:6" x14ac:dyDescent="0.25">
      <c r="E437" s="32"/>
      <c r="F437" s="1"/>
    </row>
    <row r="438" spans="5:6" x14ac:dyDescent="0.25">
      <c r="E438" s="32"/>
      <c r="F438" s="1"/>
    </row>
    <row r="439" spans="5:6" x14ac:dyDescent="0.25">
      <c r="E439" s="32"/>
      <c r="F439" s="1"/>
    </row>
    <row r="440" spans="5:6" x14ac:dyDescent="0.25">
      <c r="E440" s="32"/>
      <c r="F440" s="1"/>
    </row>
    <row r="441" spans="5:6" x14ac:dyDescent="0.25">
      <c r="E441" s="32"/>
      <c r="F441" s="1"/>
    </row>
    <row r="442" spans="5:6" x14ac:dyDescent="0.25">
      <c r="E442" s="32"/>
      <c r="F442" s="1"/>
    </row>
    <row r="443" spans="5:6" x14ac:dyDescent="0.25">
      <c r="E443" s="32"/>
      <c r="F443" s="1"/>
    </row>
    <row r="444" spans="5:6" x14ac:dyDescent="0.25">
      <c r="E444" s="32"/>
      <c r="F444" s="1"/>
    </row>
    <row r="445" spans="5:6" x14ac:dyDescent="0.25">
      <c r="E445" s="32"/>
      <c r="F445" s="1"/>
    </row>
    <row r="446" spans="5:6" x14ac:dyDescent="0.25">
      <c r="E446" s="32"/>
      <c r="F446" s="1"/>
    </row>
    <row r="447" spans="5:6" x14ac:dyDescent="0.25">
      <c r="E447" s="32"/>
      <c r="F447" s="1"/>
    </row>
    <row r="448" spans="5:6" x14ac:dyDescent="0.25">
      <c r="E448" s="32"/>
      <c r="F448" s="1"/>
    </row>
    <row r="449" spans="5:6" x14ac:dyDescent="0.25">
      <c r="E449" s="32"/>
      <c r="F449" s="1"/>
    </row>
    <row r="450" spans="5:6" x14ac:dyDescent="0.25">
      <c r="E450" s="32"/>
      <c r="F450" s="1"/>
    </row>
    <row r="451" spans="5:6" x14ac:dyDescent="0.25">
      <c r="E451" s="32"/>
      <c r="F451" s="1"/>
    </row>
    <row r="452" spans="5:6" x14ac:dyDescent="0.25">
      <c r="E452" s="32"/>
      <c r="F452" s="1"/>
    </row>
    <row r="453" spans="5:6" x14ac:dyDescent="0.25">
      <c r="E453" s="32"/>
      <c r="F453" s="1"/>
    </row>
    <row r="454" spans="5:6" x14ac:dyDescent="0.25">
      <c r="E454" s="32"/>
      <c r="F454" s="1"/>
    </row>
    <row r="455" spans="5:6" x14ac:dyDescent="0.25">
      <c r="E455" s="32"/>
      <c r="F455" s="1"/>
    </row>
    <row r="456" spans="5:6" x14ac:dyDescent="0.25">
      <c r="E456" s="32"/>
      <c r="F456" s="1"/>
    </row>
    <row r="457" spans="5:6" x14ac:dyDescent="0.25">
      <c r="E457" s="32"/>
      <c r="F457" s="1"/>
    </row>
    <row r="458" spans="5:6" x14ac:dyDescent="0.25">
      <c r="E458" s="32"/>
      <c r="F458" s="1"/>
    </row>
    <row r="459" spans="5:6" x14ac:dyDescent="0.25">
      <c r="E459" s="32"/>
      <c r="F459" s="1"/>
    </row>
    <row r="460" spans="5:6" x14ac:dyDescent="0.25">
      <c r="E460" s="32"/>
      <c r="F460" s="1"/>
    </row>
    <row r="461" spans="5:6" x14ac:dyDescent="0.25">
      <c r="E461" s="32"/>
      <c r="F461" s="1"/>
    </row>
    <row r="462" spans="5:6" x14ac:dyDescent="0.25">
      <c r="E462" s="32"/>
      <c r="F462" s="1"/>
    </row>
    <row r="463" spans="5:6" x14ac:dyDescent="0.25">
      <c r="E463" s="32"/>
      <c r="F463" s="1"/>
    </row>
    <row r="464" spans="5:6" x14ac:dyDescent="0.25">
      <c r="E464" s="32"/>
      <c r="F464" s="1"/>
    </row>
    <row r="465" spans="5:6" x14ac:dyDescent="0.25">
      <c r="E465" s="32"/>
      <c r="F465" s="1"/>
    </row>
    <row r="466" spans="5:6" x14ac:dyDescent="0.25">
      <c r="E466" s="32"/>
      <c r="F466" s="1"/>
    </row>
    <row r="467" spans="5:6" x14ac:dyDescent="0.25">
      <c r="E467" s="32"/>
      <c r="F467" s="1"/>
    </row>
    <row r="468" spans="5:6" x14ac:dyDescent="0.25">
      <c r="E468" s="32"/>
      <c r="F468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CoronavirusTeletrabajo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Luijk</dc:creator>
  <cp:lastModifiedBy>Guillermo Luijk</cp:lastModifiedBy>
  <dcterms:created xsi:type="dcterms:W3CDTF">2020-03-01T14:22:29Z</dcterms:created>
  <dcterms:modified xsi:type="dcterms:W3CDTF">2020-03-15T02:36:07Z</dcterms:modified>
</cp:coreProperties>
</file>